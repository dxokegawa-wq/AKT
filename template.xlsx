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8"/>
  <workbookPr filterPrivacy="1" defaultThemeVersion="124226"/>
  <xr:revisionPtr revIDLastSave="0" documentId="13_ncr:1_{6C376558-3DF2-4397-A422-E66965CE95EA}" xr6:coauthVersionLast="47" xr6:coauthVersionMax="47" xr10:uidLastSave="{00000000-0000-0000-0000-000000000000}"/>
  <bookViews>
    <workbookView xWindow="-108" yWindow="-108" windowWidth="23256" windowHeight="12456" xr2:uid="{00000000-000D-0000-FFFF-FFFF00000000}"/>
  </bookViews>
  <sheets>
    <sheet name="（新）AKT審査表2026.08" sheetId="18" r:id="rId1"/>
    <sheet name="審査表(本部用)2026.08" sheetId="15" r:id="rId2"/>
    <sheet name="結果資料2025.08" sheetId="19" r:id="rId3"/>
    <sheet name="防災対策点検表" sheetId="3" r:id="rId4"/>
    <sheet name="マニュアル確認表" sheetId="11" r:id="rId5"/>
    <sheet name="駐車場巡回チェック表" sheetId="12" r:id="rId6"/>
  </sheets>
  <definedNames>
    <definedName name="_xlnm.Print_Area" localSheetId="0">'（新）AKT審査表2026.08'!$A$1:$T$101</definedName>
    <definedName name="_xlnm.Print_Area" localSheetId="3">防災対策点検表!$A$1:$R$19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7" i="18" l="1"/>
  <c r="L93" i="18" s="1"/>
  <c r="N34" i="18"/>
  <c r="L89" i="18" s="1"/>
  <c r="K95" i="18"/>
  <c r="K94" i="18"/>
  <c r="K93" i="18"/>
  <c r="J92" i="18"/>
  <c r="I92" i="18"/>
  <c r="K89" i="18"/>
  <c r="O87" i="18"/>
  <c r="G83" i="18"/>
  <c r="N72" i="18"/>
  <c r="L95" i="18" s="1"/>
  <c r="N70" i="18"/>
  <c r="L94" i="18" s="1"/>
  <c r="A69" i="18"/>
  <c r="N93" i="18" l="1"/>
  <c r="K92" i="18"/>
  <c r="N89" i="18"/>
  <c r="N95" i="18"/>
  <c r="L92" i="18"/>
  <c r="N92" i="18" s="1"/>
  <c r="N94" i="18"/>
  <c r="O8" i="19" l="1"/>
  <c r="O9" i="19"/>
  <c r="O10" i="19"/>
  <c r="O11" i="19"/>
  <c r="O12" i="19"/>
  <c r="O13" i="19"/>
  <c r="N7" i="19"/>
  <c r="O7" i="19"/>
  <c r="N8" i="19"/>
  <c r="N9" i="19"/>
  <c r="N10" i="19"/>
  <c r="N11" i="19"/>
  <c r="N12" i="19"/>
  <c r="N13" i="19"/>
  <c r="N25" i="19" l="1"/>
  <c r="N24" i="19"/>
  <c r="N23" i="19"/>
  <c r="N22" i="19"/>
  <c r="N21" i="19"/>
  <c r="N20" i="19"/>
  <c r="A42" i="18" l="1"/>
  <c r="A7" i="1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O87" authorId="0" shapeId="0" xr:uid="{0A1AD43D-8088-4253-9C5F-4A5EA031FA6F}">
      <text>
        <r>
          <rPr>
            <b/>
            <sz val="9"/>
            <color indexed="81"/>
            <rFont val="ＭＳ Ｐゴシック"/>
            <family val="3"/>
            <charset val="128"/>
          </rPr>
          <t>下の水色の得点を合計した総合点数になります。
※200点満点です。</t>
        </r>
      </text>
    </comment>
    <comment ref="O89" authorId="0" shapeId="0" xr:uid="{F22955B3-5BE9-4761-A800-29AFEEA7AFB7}">
      <text>
        <r>
          <rPr>
            <b/>
            <sz val="9"/>
            <color indexed="81"/>
            <rFont val="ＭＳ Ｐゴシック"/>
            <family val="3"/>
            <charset val="128"/>
          </rPr>
          <t>左の得点率がそのまま反映します。</t>
        </r>
      </text>
    </comment>
    <comment ref="O92" authorId="0" shapeId="0" xr:uid="{741CCB22-BC32-49D6-A25C-4FD5EDCF1100}">
      <text>
        <r>
          <rPr>
            <b/>
            <sz val="9"/>
            <color indexed="81"/>
            <rFont val="ＭＳ Ｐゴシック"/>
            <family val="3"/>
            <charset val="128"/>
          </rPr>
          <t>左の得点率がそのまま反映します。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3" authorId="0" shapeId="0" xr:uid="{38CFC497-484A-4F52-AA5C-31BDB30992AB}">
      <text>
        <r>
          <rPr>
            <b/>
            <sz val="9"/>
            <color indexed="81"/>
            <rFont val="ＭＳ Ｐゴシック"/>
            <family val="3"/>
            <charset val="128"/>
          </rPr>
          <t>100点満点</t>
        </r>
      </text>
    </comment>
  </commentList>
</comments>
</file>

<file path=xl/sharedStrings.xml><?xml version="1.0" encoding="utf-8"?>
<sst xmlns="http://schemas.openxmlformats.org/spreadsheetml/2006/main" count="590" uniqueCount="281">
  <si>
    <t>審査日：</t>
    <rPh sb="0" eb="2">
      <t>シンサ</t>
    </rPh>
    <rPh sb="2" eb="3">
      <t>ビ</t>
    </rPh>
    <phoneticPr fontId="7"/>
  </si>
  <si>
    <t>店</t>
    <rPh sb="0" eb="1">
      <t>テン</t>
    </rPh>
    <phoneticPr fontId="7"/>
  </si>
  <si>
    <t>参加者：</t>
    <rPh sb="0" eb="3">
      <t>サンカシャ</t>
    </rPh>
    <phoneticPr fontId="7"/>
  </si>
  <si>
    <t>担当者A</t>
    <rPh sb="0" eb="3">
      <t>タントウシャ</t>
    </rPh>
    <phoneticPr fontId="7"/>
  </si>
  <si>
    <t>（コメント欄）</t>
    <rPh sb="5" eb="6">
      <t>ラン</t>
    </rPh>
    <phoneticPr fontId="7"/>
  </si>
  <si>
    <t>　※具体的な内容をコメント記入して下さい。</t>
    <rPh sb="13" eb="15">
      <t>キニュウ</t>
    </rPh>
    <phoneticPr fontId="7"/>
  </si>
  <si>
    <t>担当者B</t>
    <rPh sb="0" eb="3">
      <t>タントウシャ</t>
    </rPh>
    <phoneticPr fontId="7"/>
  </si>
  <si>
    <t>【お願い事項】</t>
    <rPh sb="2" eb="3">
      <t>ネガ</t>
    </rPh>
    <rPh sb="4" eb="6">
      <t>ジコウ</t>
    </rPh>
    <phoneticPr fontId="7"/>
  </si>
  <si>
    <t>　各バックヤード部屋は、各店で指定して張り紙をしておいて下さい。複数の場所となる場合も同様です。　※例：景品部屋①、景品部屋②など</t>
    <rPh sb="1" eb="2">
      <t>カク</t>
    </rPh>
    <rPh sb="8" eb="10">
      <t>ヘヤ</t>
    </rPh>
    <rPh sb="12" eb="14">
      <t>カクテン</t>
    </rPh>
    <rPh sb="15" eb="17">
      <t>シテイ</t>
    </rPh>
    <rPh sb="19" eb="20">
      <t>ハ</t>
    </rPh>
    <rPh sb="21" eb="22">
      <t>カミ</t>
    </rPh>
    <rPh sb="28" eb="29">
      <t>クダ</t>
    </rPh>
    <rPh sb="32" eb="34">
      <t>フクスウ</t>
    </rPh>
    <rPh sb="35" eb="37">
      <t>バショ</t>
    </rPh>
    <rPh sb="40" eb="42">
      <t>バアイ</t>
    </rPh>
    <rPh sb="43" eb="45">
      <t>ドウヨウ</t>
    </rPh>
    <rPh sb="50" eb="51">
      <t>レイ</t>
    </rPh>
    <rPh sb="52" eb="54">
      <t>ケイヒン</t>
    </rPh>
    <rPh sb="54" eb="56">
      <t>ヘヤ</t>
    </rPh>
    <rPh sb="58" eb="60">
      <t>ケイヒン</t>
    </rPh>
    <rPh sb="60" eb="62">
      <t>ヘヤ</t>
    </rPh>
    <phoneticPr fontId="7"/>
  </si>
  <si>
    <t>　ＡＫＴ活動報告</t>
    <rPh sb="4" eb="6">
      <t>カツドウ</t>
    </rPh>
    <rPh sb="6" eb="8">
      <t>ホウコク</t>
    </rPh>
    <phoneticPr fontId="7"/>
  </si>
  <si>
    <t>カテゴリ</t>
    <phoneticPr fontId="7"/>
  </si>
  <si>
    <t>除外</t>
    <rPh sb="0" eb="2">
      <t>ジョガイ</t>
    </rPh>
    <phoneticPr fontId="7"/>
  </si>
  <si>
    <t>基準点</t>
    <rPh sb="0" eb="3">
      <t>キジュンテン</t>
    </rPh>
    <phoneticPr fontId="7"/>
  </si>
  <si>
    <t>得点</t>
    <rPh sb="0" eb="2">
      <t>トクテン</t>
    </rPh>
    <phoneticPr fontId="7"/>
  </si>
  <si>
    <t>得点率</t>
    <rPh sb="0" eb="2">
      <t>トクテン</t>
    </rPh>
    <rPh sb="2" eb="3">
      <t>リツ</t>
    </rPh>
    <phoneticPr fontId="7"/>
  </si>
  <si>
    <t>配点</t>
    <rPh sb="0" eb="2">
      <t>ハイテン</t>
    </rPh>
    <phoneticPr fontId="7"/>
  </si>
  <si>
    <t>総合評価</t>
    <rPh sb="0" eb="2">
      <t>ソウゴウ</t>
    </rPh>
    <rPh sb="2" eb="4">
      <t>ヒョウカ</t>
    </rPh>
    <phoneticPr fontId="7"/>
  </si>
  <si>
    <t>事務所・会議室</t>
    <rPh sb="0" eb="2">
      <t>ジム</t>
    </rPh>
    <rPh sb="2" eb="3">
      <t>ショ</t>
    </rPh>
    <rPh sb="4" eb="7">
      <t>カイギシツ</t>
    </rPh>
    <phoneticPr fontId="7"/>
  </si>
  <si>
    <t>　（改善期限）</t>
    <rPh sb="2" eb="4">
      <t>カイゼン</t>
    </rPh>
    <rPh sb="4" eb="6">
      <t>キゲン</t>
    </rPh>
    <phoneticPr fontId="7"/>
  </si>
  <si>
    <t>　　　　月　　　　日までに全ての改善項目の実施を行います</t>
    <rPh sb="4" eb="5">
      <t>ツキ</t>
    </rPh>
    <rPh sb="9" eb="10">
      <t>ヒ</t>
    </rPh>
    <rPh sb="13" eb="14">
      <t>スベ</t>
    </rPh>
    <rPh sb="16" eb="18">
      <t>カイゼン</t>
    </rPh>
    <rPh sb="18" eb="20">
      <t>コウモク</t>
    </rPh>
    <rPh sb="21" eb="23">
      <t>ジッシ</t>
    </rPh>
    <rPh sb="24" eb="25">
      <t>オコナ</t>
    </rPh>
    <phoneticPr fontId="7"/>
  </si>
  <si>
    <t>（改善確認期日）</t>
    <rPh sb="1" eb="3">
      <t>カイゼン</t>
    </rPh>
    <rPh sb="3" eb="5">
      <t>カクニン</t>
    </rPh>
    <rPh sb="5" eb="7">
      <t>キジツ</t>
    </rPh>
    <phoneticPr fontId="7"/>
  </si>
  <si>
    <t>　　　　月　　　　日以降に改善項目の状況確認を行います</t>
    <rPh sb="4" eb="5">
      <t>ツキ</t>
    </rPh>
    <rPh sb="9" eb="10">
      <t>ヒ</t>
    </rPh>
    <rPh sb="10" eb="12">
      <t>イコウ</t>
    </rPh>
    <rPh sb="13" eb="15">
      <t>カイゼン</t>
    </rPh>
    <rPh sb="15" eb="17">
      <t>コウモク</t>
    </rPh>
    <rPh sb="18" eb="20">
      <t>ジョウキョウ</t>
    </rPh>
    <rPh sb="20" eb="22">
      <t>カクニン</t>
    </rPh>
    <rPh sb="23" eb="24">
      <t>オコナ</t>
    </rPh>
    <phoneticPr fontId="7"/>
  </si>
  <si>
    <t>6月</t>
    <rPh sb="1" eb="2">
      <t>ツキ</t>
    </rPh>
    <phoneticPr fontId="2"/>
  </si>
  <si>
    <t>7月</t>
  </si>
  <si>
    <t>8月</t>
  </si>
  <si>
    <t>9月</t>
  </si>
  <si>
    <t>10月</t>
  </si>
  <si>
    <t>11月</t>
  </si>
  <si>
    <t>項　目</t>
    <rPh sb="0" eb="1">
      <t>コウ</t>
    </rPh>
    <rPh sb="2" eb="3">
      <t>メ</t>
    </rPh>
    <phoneticPr fontId="2"/>
  </si>
  <si>
    <t>4月</t>
    <rPh sb="1" eb="2">
      <t>ツキ</t>
    </rPh>
    <phoneticPr fontId="2"/>
  </si>
  <si>
    <t>5月</t>
  </si>
  <si>
    <t>6月</t>
  </si>
  <si>
    <t>12月</t>
  </si>
  <si>
    <t>1月</t>
  </si>
  <si>
    <t>2月</t>
  </si>
  <si>
    <t>3月</t>
  </si>
  <si>
    <t>①</t>
    <phoneticPr fontId="2"/>
  </si>
  <si>
    <t>②</t>
    <phoneticPr fontId="2"/>
  </si>
  <si>
    <t>③</t>
    <phoneticPr fontId="2"/>
  </si>
  <si>
    <t>④</t>
    <phoneticPr fontId="2"/>
  </si>
  <si>
    <t>⑤</t>
    <phoneticPr fontId="2"/>
  </si>
  <si>
    <t>⑥</t>
    <phoneticPr fontId="2"/>
  </si>
  <si>
    <t>⑦</t>
    <phoneticPr fontId="2"/>
  </si>
  <si>
    <t>⑧</t>
    <phoneticPr fontId="2"/>
  </si>
  <si>
    <t>⑨</t>
    <phoneticPr fontId="2"/>
  </si>
  <si>
    <t>⑩</t>
    <phoneticPr fontId="2"/>
  </si>
  <si>
    <t>屋上の排水口や駐輪場カーポートなどに落ち葉やゴミが無い状態か？</t>
    <rPh sb="27" eb="29">
      <t>ジョウタイ</t>
    </rPh>
    <phoneticPr fontId="2"/>
  </si>
  <si>
    <t>「関係業者・防災機関一覧表」の見える化がされているか？</t>
    <rPh sb="1" eb="3">
      <t>カンケイ</t>
    </rPh>
    <rPh sb="3" eb="5">
      <t>ギョウシャ</t>
    </rPh>
    <rPh sb="6" eb="8">
      <t>ボウサイ</t>
    </rPh>
    <rPh sb="8" eb="10">
      <t>キカン</t>
    </rPh>
    <rPh sb="10" eb="12">
      <t>イチラン</t>
    </rPh>
    <rPh sb="12" eb="13">
      <t>ヒョウ</t>
    </rPh>
    <rPh sb="15" eb="16">
      <t>ミ</t>
    </rPh>
    <rPh sb="18" eb="19">
      <t>カ</t>
    </rPh>
    <phoneticPr fontId="2"/>
  </si>
  <si>
    <t>ブルーシートの備蓄は所定の場所に最低3枚は確保されているか？</t>
    <rPh sb="7" eb="9">
      <t>ビチク</t>
    </rPh>
    <rPh sb="10" eb="12">
      <t>ショテイ</t>
    </rPh>
    <rPh sb="13" eb="15">
      <t>バショ</t>
    </rPh>
    <rPh sb="16" eb="18">
      <t>サイテイ</t>
    </rPh>
    <rPh sb="19" eb="20">
      <t>マイ</t>
    </rPh>
    <rPh sb="21" eb="23">
      <t>カクホ</t>
    </rPh>
    <phoneticPr fontId="2"/>
  </si>
  <si>
    <t>ハザードマップは店内に掲示され、スタッフにも共有されているか？</t>
    <rPh sb="8" eb="10">
      <t>テンナイ</t>
    </rPh>
    <rPh sb="11" eb="13">
      <t>ケイジ</t>
    </rPh>
    <rPh sb="22" eb="24">
      <t>キョウユウ</t>
    </rPh>
    <phoneticPr fontId="2"/>
  </si>
  <si>
    <t>AEDの電池は切れていないか？（点滅しているか？）</t>
    <phoneticPr fontId="2"/>
  </si>
  <si>
    <t>地震発生時の「対応マニュアル」はカウンター内に備えられているか？</t>
    <phoneticPr fontId="2"/>
  </si>
  <si>
    <t>→主にホール内</t>
    <rPh sb="1" eb="2">
      <t>オモ</t>
    </rPh>
    <rPh sb="6" eb="7">
      <t>ナイ</t>
    </rPh>
    <phoneticPr fontId="2"/>
  </si>
  <si>
    <t>→主に事務所・バックヤード</t>
    <rPh sb="1" eb="2">
      <t>オモ</t>
    </rPh>
    <rPh sb="3" eb="5">
      <t>ジム</t>
    </rPh>
    <rPh sb="5" eb="6">
      <t>ショ</t>
    </rPh>
    <phoneticPr fontId="2"/>
  </si>
  <si>
    <t>防　災　対　策　点　検　表</t>
    <rPh sb="0" eb="1">
      <t>ボウ</t>
    </rPh>
    <rPh sb="2" eb="3">
      <t>サイ</t>
    </rPh>
    <rPh sb="4" eb="5">
      <t>タイ</t>
    </rPh>
    <rPh sb="6" eb="7">
      <t>サク</t>
    </rPh>
    <rPh sb="8" eb="9">
      <t>テン</t>
    </rPh>
    <rPh sb="10" eb="11">
      <t>ケン</t>
    </rPh>
    <rPh sb="12" eb="13">
      <t>ヒョウ</t>
    </rPh>
    <phoneticPr fontId="2"/>
  </si>
  <si>
    <t>総務人事課</t>
    <rPh sb="0" eb="2">
      <t>ソウム</t>
    </rPh>
    <rPh sb="2" eb="4">
      <t>ジンジ</t>
    </rPh>
    <rPh sb="4" eb="5">
      <t>カ</t>
    </rPh>
    <phoneticPr fontId="2"/>
  </si>
  <si>
    <t>■毎月必ずAKT活動の審査時に確認します。</t>
    <rPh sb="1" eb="3">
      <t>マイツキ</t>
    </rPh>
    <rPh sb="3" eb="4">
      <t>カナラ</t>
    </rPh>
    <rPh sb="8" eb="10">
      <t>カツドウ</t>
    </rPh>
    <rPh sb="11" eb="13">
      <t>シンサ</t>
    </rPh>
    <rPh sb="13" eb="14">
      <t>トキ</t>
    </rPh>
    <rPh sb="15" eb="17">
      <t>カクニン</t>
    </rPh>
    <phoneticPr fontId="5"/>
  </si>
  <si>
    <t>屋上の排水口や駐輪場カーポートの雨樋などは、従来通り各所落ち葉やゴミが無いようにしていただき、定期的に清掃を進めて</t>
    <rPh sb="0" eb="2">
      <t>オクジョウ</t>
    </rPh>
    <rPh sb="3" eb="6">
      <t>ハイスイコウ</t>
    </rPh>
    <rPh sb="7" eb="10">
      <t>チュウリンジョウ</t>
    </rPh>
    <rPh sb="16" eb="18">
      <t>アマドイ</t>
    </rPh>
    <rPh sb="22" eb="24">
      <t>ジュウライ</t>
    </rPh>
    <rPh sb="24" eb="25">
      <t>トオ</t>
    </rPh>
    <rPh sb="26" eb="28">
      <t>カクショ</t>
    </rPh>
    <rPh sb="28" eb="29">
      <t>オ</t>
    </rPh>
    <rPh sb="30" eb="31">
      <t>バ</t>
    </rPh>
    <rPh sb="35" eb="36">
      <t>ナ</t>
    </rPh>
    <rPh sb="47" eb="50">
      <t>テイキテキ</t>
    </rPh>
    <rPh sb="51" eb="53">
      <t>セイソウ</t>
    </rPh>
    <phoneticPr fontId="5"/>
  </si>
  <si>
    <t>消防・地震時等のアナウンス内容は掲示または見える化されているか？</t>
    <rPh sb="0" eb="2">
      <t>ショウボウ</t>
    </rPh>
    <rPh sb="3" eb="5">
      <t>ジシン</t>
    </rPh>
    <rPh sb="5" eb="6">
      <t>ジ</t>
    </rPh>
    <rPh sb="6" eb="7">
      <t>トウ</t>
    </rPh>
    <rPh sb="13" eb="15">
      <t>ナイヨウ</t>
    </rPh>
    <rPh sb="16" eb="18">
      <t>ケイジ</t>
    </rPh>
    <rPh sb="21" eb="22">
      <t>ミ</t>
    </rPh>
    <rPh sb="24" eb="25">
      <t>カ</t>
    </rPh>
    <phoneticPr fontId="2"/>
  </si>
  <si>
    <t>全従業員の履歴書や連絡先はファイル保管・管理されているか？</t>
    <rPh sb="0" eb="1">
      <t>ゼン</t>
    </rPh>
    <rPh sb="1" eb="4">
      <t>ジュウギョウイン</t>
    </rPh>
    <rPh sb="5" eb="8">
      <t>リレキショ</t>
    </rPh>
    <rPh sb="9" eb="12">
      <t>レンラクサキ</t>
    </rPh>
    <rPh sb="17" eb="19">
      <t>ホカン</t>
    </rPh>
    <rPh sb="20" eb="22">
      <t>カンリ</t>
    </rPh>
    <phoneticPr fontId="2"/>
  </si>
  <si>
    <t>消火栓・消火器の指定（設置）場所の見える化はされているか？</t>
    <rPh sb="0" eb="3">
      <t>ショウカセン</t>
    </rPh>
    <rPh sb="4" eb="7">
      <t>ショウカキ</t>
    </rPh>
    <rPh sb="8" eb="10">
      <t>シテイ</t>
    </rPh>
    <rPh sb="11" eb="13">
      <t>セッチ</t>
    </rPh>
    <rPh sb="14" eb="16">
      <t>バショ</t>
    </rPh>
    <rPh sb="17" eb="18">
      <t>ミ</t>
    </rPh>
    <rPh sb="20" eb="21">
      <t>カ</t>
    </rPh>
    <phoneticPr fontId="2"/>
  </si>
  <si>
    <t>氏　名</t>
    <rPh sb="0" eb="1">
      <t>シ</t>
    </rPh>
    <rPh sb="2" eb="3">
      <t>ナ</t>
    </rPh>
    <phoneticPr fontId="2"/>
  </si>
  <si>
    <t>サイン</t>
    <phoneticPr fontId="2"/>
  </si>
  <si>
    <t>5月</t>
    <rPh sb="1" eb="2">
      <t>ツキ</t>
    </rPh>
    <phoneticPr fontId="2"/>
  </si>
  <si>
    <t>①</t>
    <phoneticPr fontId="2"/>
  </si>
  <si>
    <t>③</t>
    <phoneticPr fontId="2"/>
  </si>
  <si>
    <t>④</t>
    <phoneticPr fontId="2"/>
  </si>
  <si>
    <t>⑤</t>
    <phoneticPr fontId="2"/>
  </si>
  <si>
    <t>⑥</t>
    <phoneticPr fontId="2"/>
  </si>
  <si>
    <t>⑧</t>
    <phoneticPr fontId="2"/>
  </si>
  <si>
    <t>⑨</t>
    <phoneticPr fontId="2"/>
  </si>
  <si>
    <t>⑩</t>
    <phoneticPr fontId="2"/>
  </si>
  <si>
    <t>　　　　　社員以上は毎月目を通すようにし、非常事態が発生した際に円滑に対応が出来るように備えておくために</t>
    <rPh sb="5" eb="7">
      <t>シャイン</t>
    </rPh>
    <rPh sb="7" eb="9">
      <t>イジョウ</t>
    </rPh>
    <rPh sb="10" eb="12">
      <t>マイツキ</t>
    </rPh>
    <rPh sb="12" eb="13">
      <t>メ</t>
    </rPh>
    <rPh sb="14" eb="15">
      <t>トオ</t>
    </rPh>
    <rPh sb="21" eb="23">
      <t>ヒジョウ</t>
    </rPh>
    <rPh sb="23" eb="25">
      <t>ジタイ</t>
    </rPh>
    <rPh sb="26" eb="28">
      <t>ハッセイ</t>
    </rPh>
    <rPh sb="30" eb="31">
      <t>サイ</t>
    </rPh>
    <rPh sb="32" eb="34">
      <t>エンカツ</t>
    </rPh>
    <rPh sb="35" eb="37">
      <t>タイオウ</t>
    </rPh>
    <rPh sb="38" eb="40">
      <t>デキ</t>
    </rPh>
    <rPh sb="44" eb="45">
      <t>ソナ</t>
    </rPh>
    <phoneticPr fontId="2"/>
  </si>
  <si>
    <t>7月</t>
    <rPh sb="1" eb="2">
      <t>ツキ</t>
    </rPh>
    <phoneticPr fontId="2"/>
  </si>
  <si>
    <t>8月</t>
    <rPh sb="1" eb="2">
      <t>ツキ</t>
    </rPh>
    <phoneticPr fontId="2"/>
  </si>
  <si>
    <t>9月</t>
    <rPh sb="1" eb="2">
      <t>ツキ</t>
    </rPh>
    <phoneticPr fontId="2"/>
  </si>
  <si>
    <t>災害・非常時防災マニュアル等　確認表</t>
    <rPh sb="13" eb="14">
      <t>トウ</t>
    </rPh>
    <rPh sb="15" eb="17">
      <t>カクニン</t>
    </rPh>
    <rPh sb="17" eb="18">
      <t>ヒョウ</t>
    </rPh>
    <phoneticPr fontId="2"/>
  </si>
  <si>
    <t>【確認資料】①災害・非常時防災マニュアル　　②災害時対応マニュアル　　③非常時放送・報告マニュアル</t>
    <rPh sb="1" eb="3">
      <t>カクニン</t>
    </rPh>
    <rPh sb="3" eb="5">
      <t>シリョウ</t>
    </rPh>
    <rPh sb="36" eb="38">
      <t>ヒジョウ</t>
    </rPh>
    <rPh sb="38" eb="39">
      <t>ジ</t>
    </rPh>
    <rPh sb="39" eb="41">
      <t>ホウソウ</t>
    </rPh>
    <rPh sb="42" eb="44">
      <t>ホウコク</t>
    </rPh>
    <phoneticPr fontId="2"/>
  </si>
  <si>
    <t>2019年</t>
    <rPh sb="4" eb="5">
      <t>ネン</t>
    </rPh>
    <phoneticPr fontId="2"/>
  </si>
  <si>
    <t>10月</t>
    <rPh sb="2" eb="3">
      <t>ツキ</t>
    </rPh>
    <phoneticPr fontId="2"/>
  </si>
  <si>
    <t>11月</t>
    <rPh sb="2" eb="3">
      <t>ツキ</t>
    </rPh>
    <phoneticPr fontId="2"/>
  </si>
  <si>
    <t>12月</t>
    <rPh sb="2" eb="3">
      <t>ツキ</t>
    </rPh>
    <phoneticPr fontId="2"/>
  </si>
  <si>
    <t>1月</t>
    <rPh sb="1" eb="2">
      <t>ツキ</t>
    </rPh>
    <phoneticPr fontId="2"/>
  </si>
  <si>
    <t>2月</t>
    <rPh sb="1" eb="2">
      <t>ツキ</t>
    </rPh>
    <phoneticPr fontId="2"/>
  </si>
  <si>
    <t>3月</t>
    <rPh sb="1" eb="2">
      <t>ツキ</t>
    </rPh>
    <phoneticPr fontId="2"/>
  </si>
  <si>
    <t>2018年</t>
    <rPh sb="4" eb="5">
      <t>ネン</t>
    </rPh>
    <phoneticPr fontId="2"/>
  </si>
  <si>
    <r>
      <t>事前に雨漏り発生を防ぐようにしましょう！　</t>
    </r>
    <r>
      <rPr>
        <sz val="11"/>
        <color rgb="FFFF0000"/>
        <rFont val="Meiryo UI"/>
        <family val="3"/>
        <charset val="128"/>
      </rPr>
      <t>※台風や豪雨、雪などの気象情報により、適時行いましょう。</t>
    </r>
    <rPh sb="0" eb="2">
      <t>ジゼン</t>
    </rPh>
    <rPh sb="3" eb="5">
      <t>アマモ</t>
    </rPh>
    <rPh sb="6" eb="8">
      <t>ハッセイ</t>
    </rPh>
    <rPh sb="9" eb="10">
      <t>フセ</t>
    </rPh>
    <rPh sb="25" eb="27">
      <t>ゴウウ</t>
    </rPh>
    <phoneticPr fontId="5"/>
  </si>
  <si>
    <t>2020年</t>
    <rPh sb="4" eb="5">
      <t>ネン</t>
    </rPh>
    <phoneticPr fontId="2"/>
  </si>
  <si>
    <r>
      <t>　　　　実施することになりました。各自が内容に目を通したら、</t>
    </r>
    <r>
      <rPr>
        <sz val="11"/>
        <color rgb="FFFF0000"/>
        <rFont val="Meiryo UI"/>
        <family val="3"/>
        <charset val="128"/>
      </rPr>
      <t>直筆でサイン</t>
    </r>
    <r>
      <rPr>
        <sz val="11"/>
        <color theme="1"/>
        <rFont val="Meiryo UI"/>
        <family val="3"/>
        <charset val="128"/>
      </rPr>
      <t>をするようにして下さい。</t>
    </r>
    <rPh sb="4" eb="6">
      <t>ジッシ</t>
    </rPh>
    <rPh sb="17" eb="19">
      <t>カクジ</t>
    </rPh>
    <rPh sb="20" eb="22">
      <t>ナイヨウ</t>
    </rPh>
    <rPh sb="23" eb="24">
      <t>メ</t>
    </rPh>
    <rPh sb="25" eb="26">
      <t>トオ</t>
    </rPh>
    <rPh sb="30" eb="32">
      <t>ジキヒツ</t>
    </rPh>
    <rPh sb="44" eb="45">
      <t>クダ</t>
    </rPh>
    <phoneticPr fontId="2"/>
  </si>
  <si>
    <t>防災グッズコーナーが設けられ、品揃えはキチンとされ充実しているか？　</t>
    <rPh sb="10" eb="11">
      <t>モウ</t>
    </rPh>
    <rPh sb="15" eb="16">
      <t>シナ</t>
    </rPh>
    <rPh sb="16" eb="17">
      <t>ソロ</t>
    </rPh>
    <rPh sb="25" eb="27">
      <t>ジュウジツ</t>
    </rPh>
    <phoneticPr fontId="2"/>
  </si>
  <si>
    <t>※AKT活動の日に向けて確認をし、毎月の枠内に確認した日の「日付」を記入してください。</t>
    <rPh sb="4" eb="6">
      <t>カツドウ</t>
    </rPh>
    <rPh sb="7" eb="8">
      <t>ヒ</t>
    </rPh>
    <rPh sb="9" eb="10">
      <t>ム</t>
    </rPh>
    <rPh sb="12" eb="14">
      <t>カクニン</t>
    </rPh>
    <rPh sb="23" eb="25">
      <t>カクニン</t>
    </rPh>
    <rPh sb="27" eb="28">
      <t>ヒ</t>
    </rPh>
    <rPh sb="30" eb="32">
      <t>ヒヅケ</t>
    </rPh>
    <rPh sb="34" eb="36">
      <t>キニュウ</t>
    </rPh>
    <phoneticPr fontId="2"/>
  </si>
  <si>
    <t>巡回者</t>
    <rPh sb="0" eb="2">
      <t>ジュンカイ</t>
    </rPh>
    <rPh sb="2" eb="3">
      <t>シャ</t>
    </rPh>
    <phoneticPr fontId="7"/>
  </si>
  <si>
    <t>時間</t>
    <rPh sb="0" eb="2">
      <t>ジカン</t>
    </rPh>
    <phoneticPr fontId="7"/>
  </si>
  <si>
    <t>/</t>
    <phoneticPr fontId="7"/>
  </si>
  <si>
    <t>日付</t>
    <rPh sb="0" eb="2">
      <t>ヒヅケ</t>
    </rPh>
    <phoneticPr fontId="7"/>
  </si>
  <si>
    <t>/</t>
    <phoneticPr fontId="7"/>
  </si>
  <si>
    <t>/</t>
    <phoneticPr fontId="7"/>
  </si>
  <si>
    <t>H25</t>
    <phoneticPr fontId="7"/>
  </si>
  <si>
    <t>駐車場巡回チェック表</t>
    <rPh sb="0" eb="3">
      <t>チュウシャジョウ</t>
    </rPh>
    <rPh sb="3" eb="5">
      <t>ジュンカイ</t>
    </rPh>
    <rPh sb="9" eb="10">
      <t>ヒョウ</t>
    </rPh>
    <phoneticPr fontId="7"/>
  </si>
  <si>
    <t>（本部用）</t>
    <rPh sb="1" eb="3">
      <t>ホンブ</t>
    </rPh>
    <rPh sb="3" eb="4">
      <t>ヨウ</t>
    </rPh>
    <phoneticPr fontId="7"/>
  </si>
  <si>
    <t>担当者</t>
    <rPh sb="0" eb="3">
      <t>タントウシャ</t>
    </rPh>
    <phoneticPr fontId="7"/>
  </si>
  <si>
    <t>1）事務所・会議室</t>
    <rPh sb="2" eb="4">
      <t>ジム</t>
    </rPh>
    <rPh sb="4" eb="5">
      <t>ショ</t>
    </rPh>
    <rPh sb="6" eb="9">
      <t>カイギシツ</t>
    </rPh>
    <phoneticPr fontId="7"/>
  </si>
  <si>
    <t>中項目</t>
    <rPh sb="0" eb="1">
      <t>ナカ</t>
    </rPh>
    <rPh sb="1" eb="3">
      <t>コウモク</t>
    </rPh>
    <phoneticPr fontId="7"/>
  </si>
  <si>
    <t>細項目</t>
    <rPh sb="0" eb="1">
      <t>サイ</t>
    </rPh>
    <rPh sb="1" eb="3">
      <t>コウモク</t>
    </rPh>
    <phoneticPr fontId="7"/>
  </si>
  <si>
    <t>点数</t>
    <rPh sb="0" eb="2">
      <t>テンスウ</t>
    </rPh>
    <phoneticPr fontId="7"/>
  </si>
  <si>
    <t>コメント欄</t>
    <rPh sb="4" eb="5">
      <t>ラン</t>
    </rPh>
    <phoneticPr fontId="7"/>
  </si>
  <si>
    <t>事務所  （ハード面）</t>
    <rPh sb="0" eb="2">
      <t>ジム</t>
    </rPh>
    <rPh sb="2" eb="3">
      <t>ショ</t>
    </rPh>
    <rPh sb="9" eb="10">
      <t>メン</t>
    </rPh>
    <phoneticPr fontId="7"/>
  </si>
  <si>
    <t>流し台周りはきれいな状態になっているか？</t>
    <rPh sb="0" eb="1">
      <t>ナガ</t>
    </rPh>
    <rPh sb="2" eb="3">
      <t>ダイ</t>
    </rPh>
    <rPh sb="3" eb="4">
      <t>マワ</t>
    </rPh>
    <rPh sb="10" eb="12">
      <t>ジョウタイ</t>
    </rPh>
    <phoneticPr fontId="7"/>
  </si>
  <si>
    <t>販促支援課</t>
    <rPh sb="0" eb="2">
      <t>ハンソク</t>
    </rPh>
    <rPh sb="2" eb="4">
      <t>シエン</t>
    </rPh>
    <rPh sb="4" eb="5">
      <t>カ</t>
    </rPh>
    <phoneticPr fontId="7"/>
  </si>
  <si>
    <t>印刷機器全般はホコリも無く、清掃されているか？</t>
    <rPh sb="0" eb="2">
      <t>インサツ</t>
    </rPh>
    <rPh sb="2" eb="4">
      <t>キキ</t>
    </rPh>
    <rPh sb="4" eb="6">
      <t>ゼンパン</t>
    </rPh>
    <rPh sb="11" eb="12">
      <t>ナ</t>
    </rPh>
    <rPh sb="14" eb="16">
      <t>セイソウ</t>
    </rPh>
    <phoneticPr fontId="7"/>
  </si>
  <si>
    <t>事務所　  （ソフト面）</t>
    <rPh sb="0" eb="2">
      <t>ジム</t>
    </rPh>
    <rPh sb="2" eb="3">
      <t>ショ</t>
    </rPh>
    <rPh sb="10" eb="11">
      <t>メン</t>
    </rPh>
    <phoneticPr fontId="7"/>
  </si>
  <si>
    <t>各自ロッカーの中や棚・書庫の書類・ファイルは整理整頓され、誰が見てもわかりやすいか？</t>
    <rPh sb="0" eb="2">
      <t>カクジ</t>
    </rPh>
    <phoneticPr fontId="7"/>
  </si>
  <si>
    <t>余計な荷物が置きっ放しになっていないか？</t>
    <rPh sb="0" eb="2">
      <t>ヨケイ</t>
    </rPh>
    <rPh sb="3" eb="5">
      <t>ニモツ</t>
    </rPh>
    <rPh sb="6" eb="7">
      <t>オ</t>
    </rPh>
    <rPh sb="9" eb="10">
      <t>パナ</t>
    </rPh>
    <phoneticPr fontId="7"/>
  </si>
  <si>
    <t>会議室　（Ａ・Ｂ・Ｃ）</t>
    <rPh sb="0" eb="3">
      <t>カイギシツ</t>
    </rPh>
    <phoneticPr fontId="7"/>
  </si>
  <si>
    <t>床、壁、テーブルの上はきれいか？またモニターの電源は点きっ放しになっていないか？</t>
    <rPh sb="0" eb="1">
      <t>ユカ</t>
    </rPh>
    <rPh sb="2" eb="3">
      <t>カベ</t>
    </rPh>
    <rPh sb="9" eb="10">
      <t>ウエ</t>
    </rPh>
    <phoneticPr fontId="7"/>
  </si>
  <si>
    <t>ホワイトボードはきれいになっているか？またペンは無駄に使用していないか？</t>
    <rPh sb="24" eb="26">
      <t>ムダ</t>
    </rPh>
    <rPh sb="27" eb="29">
      <t>シヨウ</t>
    </rPh>
    <phoneticPr fontId="7"/>
  </si>
  <si>
    <t>2）共生活動</t>
    <rPh sb="2" eb="4">
      <t>キョウセイ</t>
    </rPh>
    <rPh sb="4" eb="6">
      <t>カツドウ</t>
    </rPh>
    <phoneticPr fontId="7"/>
  </si>
  <si>
    <t>共</t>
    <rPh sb="0" eb="1">
      <t>キョウ</t>
    </rPh>
    <phoneticPr fontId="7"/>
  </si>
  <si>
    <t>地域清掃</t>
    <rPh sb="0" eb="2">
      <t>チイキ</t>
    </rPh>
    <rPh sb="2" eb="4">
      <t>セイソウ</t>
    </rPh>
    <phoneticPr fontId="7"/>
  </si>
  <si>
    <t>3）バックヤード他</t>
    <rPh sb="8" eb="9">
      <t>ホカ</t>
    </rPh>
    <phoneticPr fontId="7"/>
  </si>
  <si>
    <t>廊下</t>
    <rPh sb="0" eb="2">
      <t>ロウカ</t>
    </rPh>
    <phoneticPr fontId="7"/>
  </si>
  <si>
    <t>床はきれいで物が置かれた状態になっていないか？</t>
    <rPh sb="0" eb="1">
      <t>ユカ</t>
    </rPh>
    <rPh sb="6" eb="7">
      <t>モノ</t>
    </rPh>
    <rPh sb="8" eb="9">
      <t>オ</t>
    </rPh>
    <rPh sb="12" eb="14">
      <t>ジョウタイ</t>
    </rPh>
    <phoneticPr fontId="7"/>
  </si>
  <si>
    <t>床がきれいで、臭いと汚れ（衛生陶器・備え付け器具・換気口）はないか？</t>
  </si>
  <si>
    <t>階段</t>
    <rPh sb="0" eb="2">
      <t>カイダン</t>
    </rPh>
    <phoneticPr fontId="7"/>
  </si>
  <si>
    <t>その他</t>
    <rPh sb="2" eb="3">
      <t>タ</t>
    </rPh>
    <phoneticPr fontId="7"/>
  </si>
  <si>
    <t>破損やメンテナンスが必要な箇所はありましたか？</t>
    <rPh sb="0" eb="2">
      <t>ハソン</t>
    </rPh>
    <rPh sb="10" eb="12">
      <t>ヒツヨウ</t>
    </rPh>
    <rPh sb="13" eb="15">
      <t>カショ</t>
    </rPh>
    <phoneticPr fontId="7"/>
  </si>
  <si>
    <t>1）事務所・会議室 ＆ 2）共生活動</t>
    <rPh sb="14" eb="16">
      <t>キョウセイ</t>
    </rPh>
    <rPh sb="16" eb="18">
      <t>カツドウ</t>
    </rPh>
    <phoneticPr fontId="7"/>
  </si>
  <si>
    <t>総　　合</t>
    <rPh sb="0" eb="1">
      <t>フサ</t>
    </rPh>
    <rPh sb="3" eb="4">
      <t>ゴウ</t>
    </rPh>
    <phoneticPr fontId="7"/>
  </si>
  <si>
    <t>コメント・メモ欄：</t>
    <rPh sb="7" eb="8">
      <t>ラン</t>
    </rPh>
    <phoneticPr fontId="7"/>
  </si>
  <si>
    <t>※輝いていたスタッフがいましたら、コメント欄に名前と理由を加えて記入して下さい！</t>
    <rPh sb="1" eb="2">
      <t>カガヤ</t>
    </rPh>
    <rPh sb="21" eb="22">
      <t>ラン</t>
    </rPh>
    <rPh sb="23" eb="25">
      <t>ナマエ</t>
    </rPh>
    <rPh sb="26" eb="28">
      <t>リユウ</t>
    </rPh>
    <rPh sb="29" eb="30">
      <t>クワ</t>
    </rPh>
    <rPh sb="32" eb="34">
      <t>キニュウ</t>
    </rPh>
    <rPh sb="36" eb="37">
      <t>クダ</t>
    </rPh>
    <phoneticPr fontId="7"/>
  </si>
  <si>
    <t>（輝いていたスタッフ）</t>
    <rPh sb="1" eb="2">
      <t>カガヤ</t>
    </rPh>
    <phoneticPr fontId="7"/>
  </si>
  <si>
    <t>名前：</t>
    <rPh sb="0" eb="2">
      <t>ナマエ</t>
    </rPh>
    <phoneticPr fontId="7"/>
  </si>
  <si>
    <t>職位：</t>
    <rPh sb="0" eb="2">
      <t>ショクイ</t>
    </rPh>
    <phoneticPr fontId="7"/>
  </si>
  <si>
    <t>（理由）</t>
    <rPh sb="1" eb="3">
      <t>リユウ</t>
    </rPh>
    <phoneticPr fontId="7"/>
  </si>
  <si>
    <t>（理由）</t>
  </si>
  <si>
    <t>達成率（％）</t>
    <rPh sb="0" eb="3">
      <t>タッセイリツ</t>
    </rPh>
    <phoneticPr fontId="7"/>
  </si>
  <si>
    <t>ＡＫＴ活動　審査表</t>
    <rPh sb="3" eb="5">
      <t>カツドウ</t>
    </rPh>
    <rPh sb="6" eb="8">
      <t>シンサ</t>
    </rPh>
    <rPh sb="8" eb="9">
      <t>ヒョウ</t>
    </rPh>
    <phoneticPr fontId="7"/>
  </si>
  <si>
    <t>出来ている⇒1　、　出来ていない⇒0　、　該当なし⇒×</t>
    <phoneticPr fontId="7"/>
  </si>
  <si>
    <t>※前月までの状況確認を行います。</t>
    <phoneticPr fontId="7"/>
  </si>
  <si>
    <t>地域清掃活動は月１回行われており、チェックモレはありませんでしたか　※社員以上全員</t>
    <phoneticPr fontId="7"/>
  </si>
  <si>
    <t>バックヤード</t>
    <phoneticPr fontId="7"/>
  </si>
  <si>
    <t>トイレ</t>
    <phoneticPr fontId="7"/>
  </si>
  <si>
    <t>スタッフ休憩室</t>
    <phoneticPr fontId="7"/>
  </si>
  <si>
    <t>全体的に整理整頓され、清掃が行われている状態になっているか？</t>
    <phoneticPr fontId="7"/>
  </si>
  <si>
    <t>/ 8</t>
    <phoneticPr fontId="7"/>
  </si>
  <si>
    <t>/ 5</t>
    <phoneticPr fontId="7"/>
  </si>
  <si>
    <t>調査店舗：</t>
    <rPh sb="0" eb="2">
      <t>チョウサ</t>
    </rPh>
    <rPh sb="2" eb="4">
      <t>テンポ</t>
    </rPh>
    <phoneticPr fontId="7"/>
  </si>
  <si>
    <t>担当者A</t>
    <rPh sb="0" eb="3">
      <t>タントウシャ</t>
    </rPh>
    <phoneticPr fontId="2"/>
  </si>
  <si>
    <t>担当者B</t>
    <rPh sb="0" eb="3">
      <t>タントウシャ</t>
    </rPh>
    <phoneticPr fontId="2"/>
  </si>
  <si>
    <t>【ホール編】</t>
    <rPh sb="4" eb="5">
      <t>ヘン</t>
    </rPh>
    <phoneticPr fontId="7"/>
  </si>
  <si>
    <t>一切指摘も無く良い状態⇒２、一部行き届いていない箇所あり⇒1、全く出来ていない⇒0、該当なし⇒×</t>
    <rPh sb="0" eb="2">
      <t>イッサイ</t>
    </rPh>
    <rPh sb="2" eb="4">
      <t>シテキ</t>
    </rPh>
    <rPh sb="5" eb="6">
      <t>ナ</t>
    </rPh>
    <rPh sb="7" eb="8">
      <t>ヨ</t>
    </rPh>
    <rPh sb="9" eb="11">
      <t>ジョウタイ</t>
    </rPh>
    <rPh sb="14" eb="16">
      <t>イチブ</t>
    </rPh>
    <rPh sb="16" eb="17">
      <t>ユ</t>
    </rPh>
    <rPh sb="18" eb="19">
      <t>トド</t>
    </rPh>
    <rPh sb="24" eb="26">
      <t>カショ</t>
    </rPh>
    <rPh sb="31" eb="32">
      <t>マッタ</t>
    </rPh>
    <rPh sb="33" eb="35">
      <t>デキ</t>
    </rPh>
    <phoneticPr fontId="7"/>
  </si>
  <si>
    <t>店舗外周・駐車場・駐輪場他</t>
    <rPh sb="0" eb="2">
      <t>テンポ</t>
    </rPh>
    <rPh sb="2" eb="4">
      <t>ガイシュウ</t>
    </rPh>
    <rPh sb="5" eb="8">
      <t>チュウシャジョウ</t>
    </rPh>
    <rPh sb="9" eb="12">
      <t>チュウリンジョウ</t>
    </rPh>
    <rPh sb="12" eb="13">
      <t>ホカ</t>
    </rPh>
    <phoneticPr fontId="2"/>
  </si>
  <si>
    <r>
      <t>駐車・駐輪場また景品交換所付近は</t>
    </r>
    <r>
      <rPr>
        <sz val="9"/>
        <color indexed="10"/>
        <rFont val="HG丸ｺﾞｼｯｸM-PRO"/>
        <family val="3"/>
        <charset val="128"/>
      </rPr>
      <t>ゴミや落ち葉なども無く、きれいな状態</t>
    </r>
    <r>
      <rPr>
        <sz val="9"/>
        <color indexed="8"/>
        <rFont val="HG丸ｺﾞｼｯｸM-PRO"/>
        <family val="3"/>
        <charset val="128"/>
      </rPr>
      <t>でしたか（</t>
    </r>
    <r>
      <rPr>
        <sz val="9"/>
        <color rgb="FFFF0000"/>
        <rFont val="HG丸ｺﾞｼｯｸM-PRO"/>
        <family val="3"/>
        <charset val="128"/>
      </rPr>
      <t>雑草</t>
    </r>
    <r>
      <rPr>
        <sz val="9"/>
        <color indexed="8"/>
        <rFont val="HG丸ｺﾞｼｯｸM-PRO"/>
        <family val="3"/>
        <charset val="128"/>
      </rPr>
      <t>の状況含む）</t>
    </r>
    <rPh sb="19" eb="20">
      <t>オ</t>
    </rPh>
    <rPh sb="21" eb="22">
      <t>バ</t>
    </rPh>
    <rPh sb="25" eb="26">
      <t>ナ</t>
    </rPh>
    <rPh sb="32" eb="34">
      <t>ジョウタイ</t>
    </rPh>
    <rPh sb="39" eb="41">
      <t>ザッソウ</t>
    </rPh>
    <rPh sb="42" eb="44">
      <t>ジョウキョウ</t>
    </rPh>
    <rPh sb="44" eb="45">
      <t>フク</t>
    </rPh>
    <phoneticPr fontId="7"/>
  </si>
  <si>
    <r>
      <t>外周でのぼり旗や</t>
    </r>
    <r>
      <rPr>
        <sz val="9"/>
        <color rgb="FFFF0000"/>
        <rFont val="HG丸ｺﾞｼｯｸM-PRO"/>
        <family val="3"/>
        <charset val="128"/>
      </rPr>
      <t>土台</t>
    </r>
    <r>
      <rPr>
        <sz val="9"/>
        <rFont val="HG丸ｺﾞｼｯｸM-PRO"/>
        <family val="3"/>
        <charset val="128"/>
      </rPr>
      <t>、</t>
    </r>
    <r>
      <rPr>
        <sz val="9"/>
        <color indexed="8"/>
        <rFont val="HG丸ｺﾞｼｯｸM-PRO"/>
        <family val="3"/>
        <charset val="128"/>
      </rPr>
      <t>設備などの破損や不備はありませんでしたか　</t>
    </r>
    <r>
      <rPr>
        <sz val="9"/>
        <color indexed="10"/>
        <rFont val="HG丸ｺﾞｼｯｸM-PRO"/>
        <family val="3"/>
        <charset val="128"/>
      </rPr>
      <t>※旗のほつれなど含む</t>
    </r>
    <rPh sb="0" eb="2">
      <t>ガイシュウ</t>
    </rPh>
    <rPh sb="6" eb="7">
      <t>ハタ</t>
    </rPh>
    <rPh sb="8" eb="10">
      <t>ドダイ</t>
    </rPh>
    <rPh sb="11" eb="13">
      <t>セツビ</t>
    </rPh>
    <rPh sb="16" eb="18">
      <t>ハソン</t>
    </rPh>
    <rPh sb="19" eb="21">
      <t>フビ</t>
    </rPh>
    <rPh sb="33" eb="34">
      <t>ハタ</t>
    </rPh>
    <rPh sb="40" eb="41">
      <t>フク</t>
    </rPh>
    <phoneticPr fontId="7"/>
  </si>
  <si>
    <r>
      <t>店外に設置されているゴミ箱は、</t>
    </r>
    <r>
      <rPr>
        <sz val="9"/>
        <color rgb="FFFF0000"/>
        <rFont val="HG丸ｺﾞｼｯｸM-PRO"/>
        <family val="3"/>
        <charset val="128"/>
      </rPr>
      <t>ゴミで溢れ</t>
    </r>
    <r>
      <rPr>
        <sz val="9"/>
        <color theme="1"/>
        <rFont val="HG丸ｺﾞｼｯｸM-PRO"/>
        <family val="3"/>
        <charset val="128"/>
      </rPr>
      <t>ていることなく、見た目の汚れも無く</t>
    </r>
    <r>
      <rPr>
        <sz val="9"/>
        <color rgb="FFFF0000"/>
        <rFont val="HG丸ｺﾞｼｯｸM-PRO"/>
        <family val="3"/>
        <charset val="128"/>
      </rPr>
      <t>清潔</t>
    </r>
    <r>
      <rPr>
        <sz val="9"/>
        <color theme="1"/>
        <rFont val="HG丸ｺﾞｼｯｸM-PRO"/>
        <family val="3"/>
        <charset val="128"/>
      </rPr>
      <t>な状態か</t>
    </r>
    <rPh sb="0" eb="2">
      <t>テンガイ</t>
    </rPh>
    <rPh sb="3" eb="5">
      <t>セッチ</t>
    </rPh>
    <rPh sb="12" eb="13">
      <t>バコ</t>
    </rPh>
    <rPh sb="18" eb="19">
      <t>アフ</t>
    </rPh>
    <rPh sb="28" eb="29">
      <t>ミ</t>
    </rPh>
    <rPh sb="30" eb="31">
      <t>メ</t>
    </rPh>
    <rPh sb="32" eb="33">
      <t>ヨゴ</t>
    </rPh>
    <rPh sb="35" eb="36">
      <t>ナ</t>
    </rPh>
    <rPh sb="37" eb="39">
      <t>セイケツ</t>
    </rPh>
    <rPh sb="40" eb="42">
      <t>ジョウタイ</t>
    </rPh>
    <phoneticPr fontId="2"/>
  </si>
  <si>
    <t>プロモーション</t>
    <phoneticPr fontId="2"/>
  </si>
  <si>
    <r>
      <rPr>
        <sz val="9"/>
        <color rgb="FFFF0000"/>
        <rFont val="HG丸ｺﾞｼｯｸM-PRO"/>
        <family val="3"/>
        <charset val="128"/>
      </rPr>
      <t>トイレ内</t>
    </r>
    <r>
      <rPr>
        <sz val="9"/>
        <color theme="1"/>
        <rFont val="HG丸ｺﾞｼｯｸM-PRO"/>
        <family val="3"/>
        <charset val="128"/>
      </rPr>
      <t>の装飾品・掲示物などは</t>
    </r>
    <r>
      <rPr>
        <sz val="9"/>
        <color rgb="FFFF0000"/>
        <rFont val="HG丸ｺﾞｼｯｸM-PRO"/>
        <family val="3"/>
        <charset val="128"/>
      </rPr>
      <t>曲がりや歪み、破れや汚れ・色あせ</t>
    </r>
    <r>
      <rPr>
        <sz val="9"/>
        <color theme="1"/>
        <rFont val="HG丸ｺﾞｼｯｸM-PRO"/>
        <family val="3"/>
        <charset val="128"/>
      </rPr>
      <t>はありませんでしたか</t>
    </r>
    <phoneticPr fontId="2"/>
  </si>
  <si>
    <r>
      <rPr>
        <sz val="9"/>
        <color rgb="FFFF0000"/>
        <rFont val="HG丸ｺﾞｼｯｸM-PRO"/>
        <family val="3"/>
        <charset val="128"/>
      </rPr>
      <t>カウンター賞品</t>
    </r>
    <r>
      <rPr>
        <sz val="9"/>
        <color theme="1"/>
        <rFont val="HG丸ｺﾞｼｯｸM-PRO"/>
        <family val="3"/>
        <charset val="128"/>
      </rPr>
      <t>のプライスカードやＰＯＰは、見やすく、</t>
    </r>
    <r>
      <rPr>
        <sz val="9"/>
        <color rgb="FFFF0000"/>
        <rFont val="HG丸ｺﾞｼｯｸM-PRO"/>
        <family val="3"/>
        <charset val="128"/>
      </rPr>
      <t>汚れ・色落ち・破損</t>
    </r>
    <r>
      <rPr>
        <sz val="9"/>
        <color theme="1"/>
        <rFont val="HG丸ｺﾞｼｯｸM-PRO"/>
        <family val="3"/>
        <charset val="128"/>
      </rPr>
      <t>はないか</t>
    </r>
    <rPh sb="5" eb="7">
      <t>ショウヒン</t>
    </rPh>
    <phoneticPr fontId="7"/>
  </si>
  <si>
    <r>
      <t>島上などのフラッグは</t>
    </r>
    <r>
      <rPr>
        <sz val="9"/>
        <color rgb="FFFF0000"/>
        <rFont val="HG丸ｺﾞｼｯｸM-PRO"/>
        <family val="3"/>
        <charset val="128"/>
      </rPr>
      <t>キチンと揃っていて</t>
    </r>
    <r>
      <rPr>
        <sz val="9"/>
        <color theme="1"/>
        <rFont val="HG丸ｺﾞｼｯｸM-PRO"/>
        <family val="3"/>
        <charset val="128"/>
      </rPr>
      <t>、</t>
    </r>
    <r>
      <rPr>
        <sz val="9"/>
        <color rgb="FFFF0000"/>
        <rFont val="HG丸ｺﾞｼｯｸM-PRO"/>
        <family val="3"/>
        <charset val="128"/>
      </rPr>
      <t>曲がりや汚れ・色落ち</t>
    </r>
    <r>
      <rPr>
        <sz val="9"/>
        <color theme="1"/>
        <rFont val="HG丸ｺﾞｼｯｸM-PRO"/>
        <family val="3"/>
        <charset val="128"/>
      </rPr>
      <t>などはないか</t>
    </r>
    <rPh sb="27" eb="29">
      <t>イロオ</t>
    </rPh>
    <phoneticPr fontId="7"/>
  </si>
  <si>
    <r>
      <t>イーゼルやデジタルサイネージなどは、</t>
    </r>
    <r>
      <rPr>
        <sz val="9"/>
        <color indexed="10"/>
        <rFont val="HG丸ｺﾞｼｯｸM-PRO"/>
        <family val="3"/>
        <charset val="128"/>
      </rPr>
      <t>破損・汚れやホコリ</t>
    </r>
    <r>
      <rPr>
        <sz val="9"/>
        <color indexed="8"/>
        <rFont val="HG丸ｺﾞｼｯｸM-PRO"/>
        <family val="3"/>
        <charset val="128"/>
      </rPr>
      <t>が無く清潔な状態でしたか</t>
    </r>
    <rPh sb="18" eb="20">
      <t>ハソン</t>
    </rPh>
    <rPh sb="21" eb="22">
      <t>ヨゴ</t>
    </rPh>
    <rPh sb="28" eb="29">
      <t>ナ</t>
    </rPh>
    <rPh sb="30" eb="32">
      <t>セイケツ</t>
    </rPh>
    <rPh sb="33" eb="35">
      <t>ジョウタイ</t>
    </rPh>
    <phoneticPr fontId="7"/>
  </si>
  <si>
    <t>設備・クリンリネス</t>
    <rPh sb="0" eb="2">
      <t>セツビ</t>
    </rPh>
    <phoneticPr fontId="2"/>
  </si>
  <si>
    <r>
      <t>出入口付近・風除室内の壁・ドア（ガラス面）・傘立て・モニター・床は、</t>
    </r>
    <r>
      <rPr>
        <sz val="9"/>
        <color rgb="FFFF0000"/>
        <rFont val="HG丸ｺﾞｼｯｸM-PRO"/>
        <family val="3"/>
        <charset val="128"/>
      </rPr>
      <t>清潔</t>
    </r>
    <r>
      <rPr>
        <sz val="9"/>
        <color theme="1"/>
        <rFont val="HG丸ｺﾞｼｯｸM-PRO"/>
        <family val="3"/>
        <charset val="128"/>
      </rPr>
      <t>に保たれているか</t>
    </r>
    <rPh sb="19" eb="20">
      <t>メン</t>
    </rPh>
    <rPh sb="22" eb="24">
      <t>カサタ</t>
    </rPh>
    <phoneticPr fontId="7"/>
  </si>
  <si>
    <r>
      <t>自動ドアの下のレール内は</t>
    </r>
    <r>
      <rPr>
        <sz val="9"/>
        <color indexed="10"/>
        <rFont val="HG丸ｺﾞｼｯｸM-PRO"/>
        <family val="3"/>
        <charset val="128"/>
      </rPr>
      <t>キレイに清掃</t>
    </r>
    <r>
      <rPr>
        <sz val="9"/>
        <color indexed="8"/>
        <rFont val="HG丸ｺﾞｼｯｸM-PRO"/>
        <family val="3"/>
        <charset val="128"/>
      </rPr>
      <t>されていましたか</t>
    </r>
    <rPh sb="0" eb="2">
      <t>ジドウ</t>
    </rPh>
    <rPh sb="5" eb="6">
      <t>シタ</t>
    </rPh>
    <rPh sb="10" eb="11">
      <t>ナイ</t>
    </rPh>
    <rPh sb="16" eb="18">
      <t>セイソウ</t>
    </rPh>
    <phoneticPr fontId="7"/>
  </si>
  <si>
    <r>
      <t>遊技中の台に</t>
    </r>
    <r>
      <rPr>
        <sz val="9"/>
        <color indexed="10"/>
        <rFont val="HG丸ｺﾞｼｯｸM-PRO"/>
        <family val="3"/>
        <charset val="128"/>
      </rPr>
      <t>汚れやゴミが目立っている</t>
    </r>
    <r>
      <rPr>
        <sz val="9"/>
        <rFont val="HG丸ｺﾞｼｯｸM-PRO"/>
        <family val="3"/>
        <charset val="128"/>
      </rPr>
      <t>ことも</t>
    </r>
    <r>
      <rPr>
        <sz val="9"/>
        <color indexed="8"/>
        <rFont val="HG丸ｺﾞｼｯｸM-PRO"/>
        <family val="3"/>
        <charset val="128"/>
      </rPr>
      <t>なく、特に空き台はゴミも無く</t>
    </r>
    <r>
      <rPr>
        <sz val="9"/>
        <color rgb="FFFF0000"/>
        <rFont val="HG丸ｺﾞｼｯｸM-PRO"/>
        <family val="3"/>
        <charset val="128"/>
      </rPr>
      <t>清潔</t>
    </r>
    <r>
      <rPr>
        <sz val="9"/>
        <color indexed="8"/>
        <rFont val="HG丸ｺﾞｼｯｸM-PRO"/>
        <family val="3"/>
        <charset val="128"/>
      </rPr>
      <t>な状態ですか</t>
    </r>
    <rPh sb="0" eb="2">
      <t>ユウギ</t>
    </rPh>
    <rPh sb="2" eb="3">
      <t>ナカ</t>
    </rPh>
    <rPh sb="4" eb="5">
      <t>ダイ</t>
    </rPh>
    <rPh sb="6" eb="7">
      <t>ヨゴ</t>
    </rPh>
    <rPh sb="12" eb="14">
      <t>メダ</t>
    </rPh>
    <rPh sb="24" eb="25">
      <t>トク</t>
    </rPh>
    <rPh sb="26" eb="27">
      <t>ア</t>
    </rPh>
    <rPh sb="28" eb="29">
      <t>ダイ</t>
    </rPh>
    <rPh sb="33" eb="34">
      <t>ナ</t>
    </rPh>
    <rPh sb="35" eb="37">
      <t>セイケツ</t>
    </rPh>
    <rPh sb="38" eb="40">
      <t>ジョウタイ</t>
    </rPh>
    <phoneticPr fontId="7"/>
  </si>
  <si>
    <r>
      <t>お客様休憩スペース及びプラスワンコーナーは</t>
    </r>
    <r>
      <rPr>
        <sz val="9"/>
        <color indexed="10"/>
        <rFont val="HG丸ｺﾞｼｯｸM-PRO"/>
        <family val="3"/>
        <charset val="128"/>
      </rPr>
      <t>ホコリ</t>
    </r>
    <r>
      <rPr>
        <sz val="9"/>
        <color indexed="8"/>
        <rFont val="HG丸ｺﾞｼｯｸM-PRO"/>
        <family val="3"/>
        <charset val="128"/>
      </rPr>
      <t>も無く、</t>
    </r>
    <r>
      <rPr>
        <sz val="9"/>
        <color indexed="10"/>
        <rFont val="HG丸ｺﾞｼｯｸM-PRO"/>
        <family val="3"/>
        <charset val="128"/>
      </rPr>
      <t>清潔</t>
    </r>
    <r>
      <rPr>
        <sz val="9"/>
        <color indexed="8"/>
        <rFont val="HG丸ｺﾞｼｯｸM-PRO"/>
        <family val="3"/>
        <charset val="128"/>
      </rPr>
      <t>な状態でしたか</t>
    </r>
    <rPh sb="1" eb="3">
      <t>キャクサマ</t>
    </rPh>
    <rPh sb="3" eb="5">
      <t>キュウケイ</t>
    </rPh>
    <rPh sb="9" eb="10">
      <t>オヨ</t>
    </rPh>
    <rPh sb="25" eb="26">
      <t>ナ</t>
    </rPh>
    <rPh sb="28" eb="30">
      <t>セイケツ</t>
    </rPh>
    <rPh sb="31" eb="33">
      <t>ジョウタイ</t>
    </rPh>
    <phoneticPr fontId="7"/>
  </si>
  <si>
    <r>
      <t>各自販機・ＡＴＭ（デビット）・精算機などに</t>
    </r>
    <r>
      <rPr>
        <sz val="9"/>
        <color indexed="10"/>
        <rFont val="HG丸ｺﾞｼｯｸM-PRO"/>
        <family val="3"/>
        <charset val="128"/>
      </rPr>
      <t>汚れやホコリ</t>
    </r>
    <r>
      <rPr>
        <sz val="9"/>
        <color indexed="8"/>
        <rFont val="HG丸ｺﾞｼｯｸM-PRO"/>
        <family val="3"/>
        <charset val="128"/>
      </rPr>
      <t>など目立っていませんでしたか</t>
    </r>
    <rPh sb="0" eb="1">
      <t>カク</t>
    </rPh>
    <rPh sb="1" eb="4">
      <t>ジハンキ</t>
    </rPh>
    <rPh sb="15" eb="17">
      <t>セイサン</t>
    </rPh>
    <rPh sb="17" eb="18">
      <t>キ</t>
    </rPh>
    <rPh sb="21" eb="22">
      <t>ヨゴ</t>
    </rPh>
    <rPh sb="29" eb="31">
      <t>メダ</t>
    </rPh>
    <phoneticPr fontId="7"/>
  </si>
  <si>
    <r>
      <t>サービスカウンター内の棚や引き出しの中は</t>
    </r>
    <r>
      <rPr>
        <sz val="9"/>
        <color indexed="10"/>
        <rFont val="HG丸ｺﾞｼｯｸM-PRO"/>
        <family val="3"/>
        <charset val="128"/>
      </rPr>
      <t>整理・整頓</t>
    </r>
    <r>
      <rPr>
        <sz val="9"/>
        <color indexed="8"/>
        <rFont val="HG丸ｺﾞｼｯｸM-PRO"/>
        <family val="3"/>
        <charset val="128"/>
      </rPr>
      <t>されていましたか</t>
    </r>
    <rPh sb="9" eb="10">
      <t>ナイ</t>
    </rPh>
    <rPh sb="11" eb="12">
      <t>タナ</t>
    </rPh>
    <rPh sb="13" eb="14">
      <t>ヒ</t>
    </rPh>
    <rPh sb="15" eb="16">
      <t>ダ</t>
    </rPh>
    <rPh sb="18" eb="19">
      <t>ナカ</t>
    </rPh>
    <rPh sb="20" eb="22">
      <t>セイリ</t>
    </rPh>
    <rPh sb="23" eb="25">
      <t>セイトン</t>
    </rPh>
    <phoneticPr fontId="7"/>
  </si>
  <si>
    <r>
      <t>サービスカウンター周辺のジュース用冷蔵庫の上やフィルターに</t>
    </r>
    <r>
      <rPr>
        <sz val="9"/>
        <color indexed="10"/>
        <rFont val="HG丸ｺﾞｼｯｸM-PRO"/>
        <family val="3"/>
        <charset val="128"/>
      </rPr>
      <t>ホコリや汚れ</t>
    </r>
    <r>
      <rPr>
        <sz val="9"/>
        <color indexed="8"/>
        <rFont val="HG丸ｺﾞｼｯｸM-PRO"/>
        <family val="3"/>
        <charset val="128"/>
      </rPr>
      <t>が無い状態でしたか</t>
    </r>
    <rPh sb="9" eb="11">
      <t>シュウヘン</t>
    </rPh>
    <rPh sb="16" eb="17">
      <t>ヨウ</t>
    </rPh>
    <rPh sb="17" eb="20">
      <t>レイゾウコ</t>
    </rPh>
    <rPh sb="21" eb="22">
      <t>ウエ</t>
    </rPh>
    <rPh sb="33" eb="34">
      <t>ヨゴ</t>
    </rPh>
    <rPh sb="36" eb="37">
      <t>ナ</t>
    </rPh>
    <rPh sb="38" eb="40">
      <t>ジョウタイ</t>
    </rPh>
    <phoneticPr fontId="7"/>
  </si>
  <si>
    <r>
      <t>賞品や賞品棚に</t>
    </r>
    <r>
      <rPr>
        <sz val="9"/>
        <color indexed="10"/>
        <rFont val="HG丸ｺﾞｼｯｸM-PRO"/>
        <family val="3"/>
        <charset val="128"/>
      </rPr>
      <t>ホコリ</t>
    </r>
    <r>
      <rPr>
        <sz val="9"/>
        <color indexed="8"/>
        <rFont val="HG丸ｺﾞｼｯｸM-PRO"/>
        <family val="3"/>
        <charset val="128"/>
      </rPr>
      <t>が目立っている状態になっていませんでしたか</t>
    </r>
    <rPh sb="0" eb="2">
      <t>ショウヒン</t>
    </rPh>
    <rPh sb="3" eb="5">
      <t>ショウヒン</t>
    </rPh>
    <rPh sb="5" eb="6">
      <t>タナ</t>
    </rPh>
    <rPh sb="11" eb="13">
      <t>メダ</t>
    </rPh>
    <rPh sb="17" eb="19">
      <t>ジョウタイ</t>
    </rPh>
    <phoneticPr fontId="7"/>
  </si>
  <si>
    <r>
      <t>ホール内の床は</t>
    </r>
    <r>
      <rPr>
        <sz val="9"/>
        <color indexed="10"/>
        <rFont val="HG丸ｺﾞｼｯｸM-PRO"/>
        <family val="3"/>
        <charset val="128"/>
      </rPr>
      <t>汚れ</t>
    </r>
    <r>
      <rPr>
        <sz val="9"/>
        <color indexed="8"/>
        <rFont val="HG丸ｺﾞｼｯｸM-PRO"/>
        <family val="3"/>
        <charset val="128"/>
      </rPr>
      <t>が無く、玉やメダルが目立つ場所に</t>
    </r>
    <r>
      <rPr>
        <sz val="9"/>
        <color indexed="10"/>
        <rFont val="HG丸ｺﾞｼｯｸM-PRO"/>
        <family val="3"/>
        <charset val="128"/>
      </rPr>
      <t>落ちている</t>
    </r>
    <r>
      <rPr>
        <sz val="9"/>
        <color indexed="8"/>
        <rFont val="HG丸ｺﾞｼｯｸM-PRO"/>
        <family val="3"/>
        <charset val="128"/>
      </rPr>
      <t>ことは無かったですか</t>
    </r>
    <rPh sb="3" eb="4">
      <t>ナイ</t>
    </rPh>
    <rPh sb="5" eb="6">
      <t>ユカ</t>
    </rPh>
    <rPh sb="7" eb="8">
      <t>ヨゴ</t>
    </rPh>
    <rPh sb="10" eb="11">
      <t>ナ</t>
    </rPh>
    <rPh sb="13" eb="14">
      <t>タマ</t>
    </rPh>
    <rPh sb="19" eb="21">
      <t>メダ</t>
    </rPh>
    <rPh sb="22" eb="24">
      <t>バショ</t>
    </rPh>
    <rPh sb="25" eb="26">
      <t>オ</t>
    </rPh>
    <rPh sb="33" eb="34">
      <t>ナ</t>
    </rPh>
    <phoneticPr fontId="7"/>
  </si>
  <si>
    <r>
      <t>ホール内の消火器や消火栓は</t>
    </r>
    <r>
      <rPr>
        <sz val="9"/>
        <color indexed="10"/>
        <rFont val="HG丸ｺﾞｼｯｸM-PRO"/>
        <family val="3"/>
        <charset val="128"/>
      </rPr>
      <t>汚れやホコリ</t>
    </r>
    <r>
      <rPr>
        <sz val="9"/>
        <color indexed="8"/>
        <rFont val="HG丸ｺﾞｼｯｸM-PRO"/>
        <family val="3"/>
        <charset val="128"/>
      </rPr>
      <t>が目立っていませんでしたか</t>
    </r>
    <rPh sb="3" eb="4">
      <t>ナイ</t>
    </rPh>
    <rPh sb="5" eb="8">
      <t>ショウカキ</t>
    </rPh>
    <rPh sb="9" eb="12">
      <t>ショウカセン</t>
    </rPh>
    <rPh sb="13" eb="14">
      <t>ヨゴ</t>
    </rPh>
    <rPh sb="20" eb="22">
      <t>メダ</t>
    </rPh>
    <phoneticPr fontId="7"/>
  </si>
  <si>
    <r>
      <t>店内の空調は</t>
    </r>
    <r>
      <rPr>
        <sz val="9"/>
        <color rgb="FFFF0000"/>
        <rFont val="HG丸ｺﾞｼｯｸM-PRO"/>
        <family val="3"/>
        <charset val="128"/>
      </rPr>
      <t>快適</t>
    </r>
    <r>
      <rPr>
        <sz val="9"/>
        <rFont val="HG丸ｺﾞｼｯｸM-PRO"/>
        <family val="3"/>
        <charset val="128"/>
      </rPr>
      <t>な状態でしたか（</t>
    </r>
    <r>
      <rPr>
        <sz val="9"/>
        <color rgb="FFFF0000"/>
        <rFont val="HG丸ｺﾞｼｯｸM-PRO"/>
        <family val="3"/>
        <charset val="128"/>
      </rPr>
      <t>温度、異臭の有無等</t>
    </r>
    <r>
      <rPr>
        <sz val="9"/>
        <rFont val="HG丸ｺﾞｼｯｸM-PRO"/>
        <family val="3"/>
        <charset val="128"/>
      </rPr>
      <t>）</t>
    </r>
    <r>
      <rPr>
        <sz val="9"/>
        <color rgb="FFFF0000"/>
        <rFont val="HG丸ｺﾞｼｯｸM-PRO"/>
        <family val="3"/>
        <charset val="128"/>
      </rPr>
      <t>※基準：温度25～28°、湿度40～70％</t>
    </r>
    <rPh sb="0" eb="2">
      <t>テンナイ</t>
    </rPh>
    <rPh sb="3" eb="5">
      <t>クウチョウ</t>
    </rPh>
    <rPh sb="6" eb="8">
      <t>カイテキ</t>
    </rPh>
    <rPh sb="9" eb="11">
      <t>ジョウタイ</t>
    </rPh>
    <rPh sb="16" eb="18">
      <t>オンド</t>
    </rPh>
    <rPh sb="19" eb="21">
      <t>イシュウ</t>
    </rPh>
    <rPh sb="22" eb="24">
      <t>ウム</t>
    </rPh>
    <rPh sb="24" eb="25">
      <t>トウ</t>
    </rPh>
    <rPh sb="27" eb="29">
      <t>キジュン</t>
    </rPh>
    <rPh sb="30" eb="32">
      <t>オンド</t>
    </rPh>
    <rPh sb="39" eb="41">
      <t>シツド</t>
    </rPh>
    <phoneticPr fontId="7"/>
  </si>
  <si>
    <t>（担当者総評コメント欄）：</t>
    <rPh sb="1" eb="3">
      <t>タントウ</t>
    </rPh>
    <rPh sb="3" eb="4">
      <t>シャ</t>
    </rPh>
    <rPh sb="4" eb="6">
      <t>ソウヒョウ</t>
    </rPh>
    <rPh sb="10" eb="11">
      <t>ラン</t>
    </rPh>
    <phoneticPr fontId="7"/>
  </si>
  <si>
    <t>【バックヤード編】</t>
    <rPh sb="7" eb="8">
      <t>ヘン</t>
    </rPh>
    <phoneticPr fontId="7"/>
  </si>
  <si>
    <t>コンプライアンス関係・防災対策</t>
    <rPh sb="8" eb="10">
      <t>カンケイ</t>
    </rPh>
    <rPh sb="11" eb="15">
      <t>ボウサイタイサク</t>
    </rPh>
    <phoneticPr fontId="2"/>
  </si>
  <si>
    <r>
      <t>営業許可証・18歳未満入場禁止・推進機構誓約書の掲示は</t>
    </r>
    <r>
      <rPr>
        <sz val="9"/>
        <color indexed="10"/>
        <rFont val="HG丸ｺﾞｼｯｸM-PRO"/>
        <family val="3"/>
        <charset val="128"/>
      </rPr>
      <t>見える場所</t>
    </r>
    <r>
      <rPr>
        <sz val="9"/>
        <rFont val="HG丸ｺﾞｼｯｸM-PRO"/>
        <family val="3"/>
        <charset val="128"/>
      </rPr>
      <t>にありましたか</t>
    </r>
    <rPh sb="0" eb="2">
      <t>エイギョウ</t>
    </rPh>
    <rPh sb="27" eb="28">
      <t>ミ</t>
    </rPh>
    <rPh sb="30" eb="32">
      <t>バショ</t>
    </rPh>
    <phoneticPr fontId="7"/>
  </si>
  <si>
    <t>依存（のめり込み）問題対応の一環である「子どもの車内放置」撲滅のため、駐車場の定時巡回は行われていますか</t>
    <rPh sb="0" eb="2">
      <t>イゾン</t>
    </rPh>
    <rPh sb="6" eb="7">
      <t>コ</t>
    </rPh>
    <rPh sb="9" eb="11">
      <t>モンダイ</t>
    </rPh>
    <rPh sb="11" eb="13">
      <t>タイオウ</t>
    </rPh>
    <rPh sb="14" eb="16">
      <t>イッカン</t>
    </rPh>
    <rPh sb="20" eb="21">
      <t>コ</t>
    </rPh>
    <rPh sb="24" eb="26">
      <t>シャナイ</t>
    </rPh>
    <rPh sb="26" eb="28">
      <t>ホウチ</t>
    </rPh>
    <rPh sb="29" eb="31">
      <t>ボクメツ</t>
    </rPh>
    <rPh sb="35" eb="38">
      <t>チュウシャジョウ</t>
    </rPh>
    <rPh sb="39" eb="41">
      <t>テイジ</t>
    </rPh>
    <rPh sb="41" eb="43">
      <t>ジュンカイ</t>
    </rPh>
    <rPh sb="44" eb="45">
      <t>オコナ</t>
    </rPh>
    <phoneticPr fontId="7"/>
  </si>
  <si>
    <r>
      <t>変更届出書・変更承認申請書の</t>
    </r>
    <r>
      <rPr>
        <sz val="9"/>
        <color indexed="8"/>
        <rFont val="HG丸ｺﾞｼｯｸM-PRO"/>
        <family val="3"/>
        <charset val="128"/>
      </rPr>
      <t>保管は</t>
    </r>
    <r>
      <rPr>
        <sz val="9"/>
        <color indexed="10"/>
        <rFont val="HG丸ｺﾞｼｯｸM-PRO"/>
        <family val="3"/>
        <charset val="128"/>
      </rPr>
      <t>施錠された場所で</t>
    </r>
    <r>
      <rPr>
        <sz val="9"/>
        <rFont val="HG丸ｺﾞｼｯｸM-PRO"/>
        <family val="3"/>
        <charset val="128"/>
      </rPr>
      <t>しっかり行えていますか</t>
    </r>
    <rPh sb="0" eb="2">
      <t>ヘンコウ</t>
    </rPh>
    <rPh sb="3" eb="4">
      <t>デ</t>
    </rPh>
    <rPh sb="4" eb="5">
      <t>ショ</t>
    </rPh>
    <rPh sb="10" eb="13">
      <t>シンセイショ</t>
    </rPh>
    <rPh sb="17" eb="19">
      <t>セジョウ</t>
    </rPh>
    <rPh sb="22" eb="24">
      <t>バショ</t>
    </rPh>
    <phoneticPr fontId="7"/>
  </si>
  <si>
    <r>
      <t>遊技産業健全化推進機構や県警などの立ち入り検査後の控え書類を綴じる</t>
    </r>
    <r>
      <rPr>
        <sz val="9"/>
        <color indexed="10"/>
        <rFont val="HG丸ｺﾞｼｯｸM-PRO"/>
        <family val="3"/>
        <charset val="128"/>
      </rPr>
      <t>ファイルは設けてあるか</t>
    </r>
    <rPh sb="12" eb="14">
      <t>ケンケイ</t>
    </rPh>
    <rPh sb="17" eb="18">
      <t>タ</t>
    </rPh>
    <rPh sb="19" eb="20">
      <t>イ</t>
    </rPh>
    <rPh sb="21" eb="23">
      <t>ケンサ</t>
    </rPh>
    <rPh sb="23" eb="24">
      <t>ゴ</t>
    </rPh>
    <rPh sb="25" eb="26">
      <t>ヒカ</t>
    </rPh>
    <rPh sb="27" eb="29">
      <t>ショルイ</t>
    </rPh>
    <rPh sb="30" eb="31">
      <t>ト</t>
    </rPh>
    <rPh sb="38" eb="39">
      <t>モウ</t>
    </rPh>
    <phoneticPr fontId="7"/>
  </si>
  <si>
    <t>共生</t>
    <rPh sb="0" eb="2">
      <t>キョウセイ</t>
    </rPh>
    <phoneticPr fontId="2"/>
  </si>
  <si>
    <t>事務所・会議室</t>
    <rPh sb="0" eb="3">
      <t>ジムショ</t>
    </rPh>
    <rPh sb="4" eb="7">
      <t>カイギシツ</t>
    </rPh>
    <phoneticPr fontId="2"/>
  </si>
  <si>
    <r>
      <t>事務所に向かう</t>
    </r>
    <r>
      <rPr>
        <sz val="9"/>
        <color rgb="FFFF0000"/>
        <rFont val="HG丸ｺﾞｼｯｸM-PRO"/>
        <family val="3"/>
        <charset val="128"/>
      </rPr>
      <t>階段と周辺、事務所・バックヤードの通路・廊下</t>
    </r>
    <r>
      <rPr>
        <sz val="9"/>
        <rFont val="HG丸ｺﾞｼｯｸM-PRO"/>
        <family val="3"/>
        <charset val="128"/>
      </rPr>
      <t>には物が無く</t>
    </r>
    <r>
      <rPr>
        <sz val="9"/>
        <color indexed="10"/>
        <rFont val="HG丸ｺﾞｼｯｸM-PRO"/>
        <family val="3"/>
        <charset val="128"/>
      </rPr>
      <t>きれい</t>
    </r>
    <r>
      <rPr>
        <sz val="9"/>
        <rFont val="HG丸ｺﾞｼｯｸM-PRO"/>
        <family val="3"/>
        <charset val="128"/>
      </rPr>
      <t>な状態になっていますか</t>
    </r>
    <rPh sb="0" eb="3">
      <t>ジムショ</t>
    </rPh>
    <rPh sb="4" eb="5">
      <t>ム</t>
    </rPh>
    <rPh sb="13" eb="16">
      <t>ジムショ</t>
    </rPh>
    <rPh sb="24" eb="26">
      <t>ツウロ</t>
    </rPh>
    <rPh sb="27" eb="29">
      <t>ロウカ</t>
    </rPh>
    <rPh sb="33" eb="34">
      <t>ナ</t>
    </rPh>
    <phoneticPr fontId="7"/>
  </si>
  <si>
    <r>
      <t>机の中や棚・書庫の書類・ファイルは</t>
    </r>
    <r>
      <rPr>
        <sz val="9"/>
        <color indexed="10"/>
        <rFont val="HG丸ｺﾞｼｯｸM-PRO"/>
        <family val="3"/>
        <charset val="128"/>
      </rPr>
      <t>整理整頓</t>
    </r>
    <r>
      <rPr>
        <sz val="9"/>
        <rFont val="HG丸ｺﾞｼｯｸM-PRO"/>
        <family val="3"/>
        <charset val="128"/>
      </rPr>
      <t>され、誰が見てもわかりやすいですか</t>
    </r>
    <phoneticPr fontId="7"/>
  </si>
  <si>
    <r>
      <t>事務所内に余計な荷物が</t>
    </r>
    <r>
      <rPr>
        <sz val="9"/>
        <color indexed="10"/>
        <rFont val="HG丸ｺﾞｼｯｸM-PRO"/>
        <family val="3"/>
        <charset val="128"/>
      </rPr>
      <t>置きっ放し</t>
    </r>
    <r>
      <rPr>
        <sz val="9"/>
        <rFont val="HG丸ｺﾞｼｯｸM-PRO"/>
        <family val="3"/>
        <charset val="128"/>
      </rPr>
      <t>になっておらず、</t>
    </r>
    <r>
      <rPr>
        <sz val="9"/>
        <color rgb="FFFF0000"/>
        <rFont val="HG丸ｺﾞｼｯｸM-PRO"/>
        <family val="3"/>
        <charset val="128"/>
      </rPr>
      <t>壁面や窓</t>
    </r>
    <r>
      <rPr>
        <sz val="9"/>
        <rFont val="HG丸ｺﾞｼｯｸM-PRO"/>
        <family val="3"/>
        <charset val="128"/>
      </rPr>
      <t>、床面は</t>
    </r>
    <r>
      <rPr>
        <sz val="9"/>
        <color indexed="10"/>
        <rFont val="HG丸ｺﾞｼｯｸM-PRO"/>
        <family val="3"/>
        <charset val="128"/>
      </rPr>
      <t>きれいな状態</t>
    </r>
    <r>
      <rPr>
        <sz val="9"/>
        <rFont val="HG丸ｺﾞｼｯｸM-PRO"/>
        <family val="3"/>
        <charset val="128"/>
      </rPr>
      <t>になっていますか</t>
    </r>
    <rPh sb="0" eb="2">
      <t>ジム</t>
    </rPh>
    <rPh sb="2" eb="3">
      <t>ショ</t>
    </rPh>
    <rPh sb="3" eb="4">
      <t>ナイ</t>
    </rPh>
    <rPh sb="24" eb="26">
      <t>ヘキメン</t>
    </rPh>
    <rPh sb="27" eb="28">
      <t>マド</t>
    </rPh>
    <rPh sb="29" eb="31">
      <t>ユカメン</t>
    </rPh>
    <rPh sb="36" eb="38">
      <t>ジョウタイ</t>
    </rPh>
    <phoneticPr fontId="7"/>
  </si>
  <si>
    <r>
      <t>金庫室の床や</t>
    </r>
    <r>
      <rPr>
        <sz val="9"/>
        <color rgb="FFFF0000"/>
        <rFont val="HG丸ｺﾞｼｯｸM-PRO"/>
        <family val="3"/>
        <charset val="128"/>
      </rPr>
      <t>計数機内</t>
    </r>
    <r>
      <rPr>
        <sz val="9"/>
        <rFont val="HG丸ｺﾞｼｯｸM-PRO"/>
        <family val="3"/>
        <charset val="128"/>
      </rPr>
      <t>及び周りがホコリが無く</t>
    </r>
    <r>
      <rPr>
        <sz val="9"/>
        <color indexed="10"/>
        <rFont val="HG丸ｺﾞｼｯｸM-PRO"/>
        <family val="3"/>
        <charset val="128"/>
      </rPr>
      <t>きれい</t>
    </r>
    <r>
      <rPr>
        <sz val="9"/>
        <rFont val="HG丸ｺﾞｼｯｸM-PRO"/>
        <family val="3"/>
        <charset val="128"/>
      </rPr>
      <t>できちんと</t>
    </r>
    <r>
      <rPr>
        <sz val="9"/>
        <color indexed="10"/>
        <rFont val="HG丸ｺﾞｼｯｸM-PRO"/>
        <family val="3"/>
        <charset val="128"/>
      </rPr>
      <t>整理整頓</t>
    </r>
    <r>
      <rPr>
        <sz val="9"/>
        <rFont val="HG丸ｺﾞｼｯｸM-PRO"/>
        <family val="3"/>
        <charset val="128"/>
      </rPr>
      <t>されていますか</t>
    </r>
    <rPh sb="0" eb="3">
      <t>キンコシツ</t>
    </rPh>
    <rPh sb="9" eb="10">
      <t>ナイ</t>
    </rPh>
    <rPh sb="10" eb="11">
      <t>オヨ</t>
    </rPh>
    <rPh sb="19" eb="20">
      <t>ナ</t>
    </rPh>
    <phoneticPr fontId="7"/>
  </si>
  <si>
    <r>
      <t>金庫内は</t>
    </r>
    <r>
      <rPr>
        <sz val="9"/>
        <color indexed="10"/>
        <rFont val="HG丸ｺﾞｼｯｸM-PRO"/>
        <family val="3"/>
        <charset val="128"/>
      </rPr>
      <t>整理整頓</t>
    </r>
    <r>
      <rPr>
        <sz val="9"/>
        <rFont val="HG丸ｺﾞｼｯｸM-PRO"/>
        <family val="3"/>
        <charset val="128"/>
      </rPr>
      <t>され、</t>
    </r>
    <r>
      <rPr>
        <sz val="9"/>
        <color indexed="10"/>
        <rFont val="HG丸ｺﾞｼｯｸM-PRO"/>
        <family val="3"/>
        <charset val="128"/>
      </rPr>
      <t>きれい</t>
    </r>
    <r>
      <rPr>
        <sz val="9"/>
        <rFont val="HG丸ｺﾞｼｯｸM-PRO"/>
        <family val="3"/>
        <charset val="128"/>
      </rPr>
      <t>な状態になっていますか？また不要な物はありませんでしたか</t>
    </r>
    <rPh sb="0" eb="2">
      <t>キンコ</t>
    </rPh>
    <rPh sb="2" eb="3">
      <t>ナイ</t>
    </rPh>
    <rPh sb="4" eb="6">
      <t>セイリ</t>
    </rPh>
    <rPh sb="6" eb="8">
      <t>セイトン</t>
    </rPh>
    <rPh sb="15" eb="17">
      <t>ジョウタイ</t>
    </rPh>
    <rPh sb="28" eb="30">
      <t>フヨウ</t>
    </rPh>
    <rPh sb="31" eb="32">
      <t>モノ</t>
    </rPh>
    <phoneticPr fontId="7"/>
  </si>
  <si>
    <r>
      <t>会議室の床、壁、テーブルの上は</t>
    </r>
    <r>
      <rPr>
        <sz val="9"/>
        <color indexed="10"/>
        <rFont val="HG丸ｺﾞｼｯｸM-PRO"/>
        <family val="3"/>
        <charset val="128"/>
      </rPr>
      <t>きれい</t>
    </r>
    <r>
      <rPr>
        <sz val="9"/>
        <rFont val="HG丸ｺﾞｼｯｸM-PRO"/>
        <family val="3"/>
        <charset val="128"/>
      </rPr>
      <t>ですか、またモニターの電源は</t>
    </r>
    <r>
      <rPr>
        <sz val="9"/>
        <color indexed="10"/>
        <rFont val="HG丸ｺﾞｼｯｸM-PRO"/>
        <family val="3"/>
        <charset val="128"/>
      </rPr>
      <t>点きっ放し</t>
    </r>
    <r>
      <rPr>
        <sz val="9"/>
        <rFont val="HG丸ｺﾞｼｯｸM-PRO"/>
        <family val="3"/>
        <charset val="128"/>
      </rPr>
      <t>になっていませんか</t>
    </r>
    <rPh sb="0" eb="3">
      <t>カイギシツ</t>
    </rPh>
    <phoneticPr fontId="7"/>
  </si>
  <si>
    <r>
      <t>会議室内のその他のホワイトボードは</t>
    </r>
    <r>
      <rPr>
        <sz val="9"/>
        <color indexed="10"/>
        <rFont val="HG丸ｺﾞｼｯｸM-PRO"/>
        <family val="3"/>
        <charset val="128"/>
      </rPr>
      <t>きれい</t>
    </r>
    <r>
      <rPr>
        <sz val="9"/>
        <rFont val="HG丸ｺﾞｼｯｸM-PRO"/>
        <family val="3"/>
        <charset val="128"/>
      </rPr>
      <t>になっていますか？またペンは</t>
    </r>
    <r>
      <rPr>
        <sz val="9"/>
        <color indexed="10"/>
        <rFont val="HG丸ｺﾞｼｯｸM-PRO"/>
        <family val="3"/>
        <charset val="128"/>
      </rPr>
      <t>無駄に使用</t>
    </r>
    <r>
      <rPr>
        <sz val="9"/>
        <rFont val="HG丸ｺﾞｼｯｸM-PRO"/>
        <family val="3"/>
        <charset val="128"/>
      </rPr>
      <t>してませんか</t>
    </r>
    <rPh sb="0" eb="4">
      <t>カイギシツナイ</t>
    </rPh>
    <rPh sb="7" eb="8">
      <t>タ</t>
    </rPh>
    <phoneticPr fontId="7"/>
  </si>
  <si>
    <t>バックヤード部屋他</t>
    <rPh sb="6" eb="8">
      <t>ヘヤ</t>
    </rPh>
    <rPh sb="8" eb="9">
      <t>ホカ</t>
    </rPh>
    <phoneticPr fontId="2"/>
  </si>
  <si>
    <r>
      <t>賞品倉庫内の景品はキチンと</t>
    </r>
    <r>
      <rPr>
        <sz val="9"/>
        <color indexed="10"/>
        <rFont val="HG丸ｺﾞｼｯｸM-PRO"/>
        <family val="3"/>
        <charset val="128"/>
      </rPr>
      <t>整理整頓</t>
    </r>
    <r>
      <rPr>
        <sz val="9"/>
        <color indexed="8"/>
        <rFont val="HG丸ｺﾞｼｯｸM-PRO"/>
        <family val="3"/>
        <charset val="128"/>
      </rPr>
      <t>がされ、</t>
    </r>
    <r>
      <rPr>
        <sz val="9"/>
        <color indexed="10"/>
        <rFont val="HG丸ｺﾞｼｯｸM-PRO"/>
        <family val="3"/>
        <charset val="128"/>
      </rPr>
      <t>玉数・賞味期限表示</t>
    </r>
    <r>
      <rPr>
        <sz val="9"/>
        <color indexed="8"/>
        <rFont val="HG丸ｺﾞｼｯｸM-PRO"/>
        <family val="3"/>
        <charset val="128"/>
      </rPr>
      <t>がされていますか</t>
    </r>
    <rPh sb="0" eb="2">
      <t>ショウヒン</t>
    </rPh>
    <rPh sb="2" eb="4">
      <t>ソウコ</t>
    </rPh>
    <rPh sb="4" eb="5">
      <t>ナイ</t>
    </rPh>
    <rPh sb="21" eb="22">
      <t>タマ</t>
    </rPh>
    <rPh sb="22" eb="23">
      <t>スウ</t>
    </rPh>
    <rPh sb="24" eb="26">
      <t>ショウミ</t>
    </rPh>
    <rPh sb="26" eb="28">
      <t>キゲン</t>
    </rPh>
    <rPh sb="28" eb="30">
      <t>ヒョウジ</t>
    </rPh>
    <phoneticPr fontId="7"/>
  </si>
  <si>
    <r>
      <t>部備品倉庫内の工具類は</t>
    </r>
    <r>
      <rPr>
        <sz val="9"/>
        <color indexed="10"/>
        <rFont val="HG丸ｺﾞｼｯｸM-PRO"/>
        <family val="3"/>
        <charset val="128"/>
      </rPr>
      <t>整頓</t>
    </r>
    <r>
      <rPr>
        <sz val="9"/>
        <color indexed="8"/>
        <rFont val="HG丸ｺﾞｼｯｸM-PRO"/>
        <family val="3"/>
        <charset val="128"/>
      </rPr>
      <t>され、</t>
    </r>
    <r>
      <rPr>
        <sz val="9"/>
        <color indexed="10"/>
        <rFont val="HG丸ｺﾞｼｯｸM-PRO"/>
        <family val="3"/>
        <charset val="128"/>
      </rPr>
      <t>用途・品名表示</t>
    </r>
    <r>
      <rPr>
        <sz val="9"/>
        <color indexed="8"/>
        <rFont val="HG丸ｺﾞｼｯｸM-PRO"/>
        <family val="3"/>
        <charset val="128"/>
      </rPr>
      <t>がされていますか</t>
    </r>
    <rPh sb="0" eb="1">
      <t>ブ</t>
    </rPh>
    <rPh sb="1" eb="3">
      <t>ビヒン</t>
    </rPh>
    <rPh sb="3" eb="5">
      <t>ソウコ</t>
    </rPh>
    <rPh sb="5" eb="6">
      <t>ナイ</t>
    </rPh>
    <rPh sb="19" eb="21">
      <t>ヒンメイ</t>
    </rPh>
    <phoneticPr fontId="7"/>
  </si>
  <si>
    <r>
      <t>販促物倉庫内のポスター・ＰＯＰ類が</t>
    </r>
    <r>
      <rPr>
        <sz val="9"/>
        <color indexed="10"/>
        <rFont val="HG丸ｺﾞｼｯｸM-PRO"/>
        <family val="3"/>
        <charset val="128"/>
      </rPr>
      <t>整理整頓</t>
    </r>
    <r>
      <rPr>
        <sz val="9"/>
        <color indexed="8"/>
        <rFont val="HG丸ｺﾞｼｯｸM-PRO"/>
        <family val="3"/>
        <charset val="128"/>
      </rPr>
      <t>され、</t>
    </r>
    <r>
      <rPr>
        <sz val="9"/>
        <color indexed="10"/>
        <rFont val="HG丸ｺﾞｼｯｸM-PRO"/>
        <family val="3"/>
        <charset val="128"/>
      </rPr>
      <t>用途表示</t>
    </r>
    <r>
      <rPr>
        <sz val="9"/>
        <color indexed="8"/>
        <rFont val="HG丸ｺﾞｼｯｸM-PRO"/>
        <family val="3"/>
        <charset val="128"/>
      </rPr>
      <t>がされていますか</t>
    </r>
    <rPh sb="0" eb="2">
      <t>ハンソク</t>
    </rPh>
    <rPh sb="2" eb="3">
      <t>ブツ</t>
    </rPh>
    <rPh sb="3" eb="5">
      <t>ソウコ</t>
    </rPh>
    <rPh sb="5" eb="6">
      <t>ナイ</t>
    </rPh>
    <rPh sb="24" eb="26">
      <t>ヨウト</t>
    </rPh>
    <rPh sb="26" eb="28">
      <t>ヒョウジ</t>
    </rPh>
    <phoneticPr fontId="7"/>
  </si>
  <si>
    <r>
      <t>台の保管場所（機械部屋含む）は、機械や備品などキチンと</t>
    </r>
    <r>
      <rPr>
        <sz val="9"/>
        <color indexed="10"/>
        <rFont val="HG丸ｺﾞｼｯｸM-PRO"/>
        <family val="3"/>
        <charset val="128"/>
      </rPr>
      <t>整頓</t>
    </r>
    <r>
      <rPr>
        <sz val="9"/>
        <color indexed="8"/>
        <rFont val="HG丸ｺﾞｼｯｸM-PRO"/>
        <family val="3"/>
        <charset val="128"/>
      </rPr>
      <t>されていて、周辺は</t>
    </r>
    <r>
      <rPr>
        <sz val="9"/>
        <color indexed="10"/>
        <rFont val="HG丸ｺﾞｼｯｸM-PRO"/>
        <family val="3"/>
        <charset val="128"/>
      </rPr>
      <t>きれい</t>
    </r>
    <r>
      <rPr>
        <sz val="9"/>
        <color indexed="8"/>
        <rFont val="HG丸ｺﾞｼｯｸM-PRO"/>
        <family val="3"/>
        <charset val="128"/>
      </rPr>
      <t>な状態になっていますか</t>
    </r>
    <rPh sb="0" eb="1">
      <t>ダイ</t>
    </rPh>
    <rPh sb="2" eb="4">
      <t>ホカン</t>
    </rPh>
    <rPh sb="4" eb="6">
      <t>バショ</t>
    </rPh>
    <rPh sb="7" eb="9">
      <t>キカイ</t>
    </rPh>
    <rPh sb="9" eb="11">
      <t>ヘヤ</t>
    </rPh>
    <rPh sb="11" eb="12">
      <t>フク</t>
    </rPh>
    <phoneticPr fontId="7"/>
  </si>
  <si>
    <r>
      <t>消防条例に従い、</t>
    </r>
    <r>
      <rPr>
        <sz val="9"/>
        <color indexed="10"/>
        <rFont val="HG丸ｺﾞｼｯｸM-PRO"/>
        <family val="3"/>
        <charset val="128"/>
      </rPr>
      <t>廊下、通路、空調室内</t>
    </r>
    <r>
      <rPr>
        <sz val="9"/>
        <color indexed="8"/>
        <rFont val="HG丸ｺﾞｼｯｸM-PRO"/>
        <family val="3"/>
        <charset val="128"/>
      </rPr>
      <t>には物が無く、各部屋の</t>
    </r>
    <r>
      <rPr>
        <sz val="9"/>
        <color indexed="10"/>
        <rFont val="HG丸ｺﾞｼｯｸM-PRO"/>
        <family val="3"/>
        <charset val="128"/>
      </rPr>
      <t>整理整頓</t>
    </r>
    <r>
      <rPr>
        <sz val="9"/>
        <color indexed="8"/>
        <rFont val="HG丸ｺﾞｼｯｸM-PRO"/>
        <family val="3"/>
        <charset val="128"/>
      </rPr>
      <t>は出来ていますか　</t>
    </r>
    <r>
      <rPr>
        <sz val="9"/>
        <color rgb="FFFF0000"/>
        <rFont val="HG丸ｺﾞｼｯｸM-PRO"/>
        <family val="3"/>
        <charset val="128"/>
      </rPr>
      <t>※詳細は別紙にて</t>
    </r>
    <rPh sb="43" eb="45">
      <t>ショウサイ</t>
    </rPh>
    <rPh sb="46" eb="48">
      <t>ベッシ</t>
    </rPh>
    <phoneticPr fontId="7"/>
  </si>
  <si>
    <r>
      <t>外倉庫内は機械や備品などキチンと</t>
    </r>
    <r>
      <rPr>
        <sz val="9"/>
        <color indexed="10"/>
        <rFont val="HG丸ｺﾞｼｯｸM-PRO"/>
        <family val="3"/>
        <charset val="128"/>
      </rPr>
      <t>整頓</t>
    </r>
    <r>
      <rPr>
        <sz val="9"/>
        <color indexed="8"/>
        <rFont val="HG丸ｺﾞｼｯｸM-PRO"/>
        <family val="3"/>
        <charset val="128"/>
      </rPr>
      <t>されていて、周辺は</t>
    </r>
    <r>
      <rPr>
        <sz val="9"/>
        <color indexed="10"/>
        <rFont val="HG丸ｺﾞｼｯｸM-PRO"/>
        <family val="3"/>
        <charset val="128"/>
      </rPr>
      <t>きれい</t>
    </r>
    <r>
      <rPr>
        <sz val="9"/>
        <color indexed="8"/>
        <rFont val="HG丸ｺﾞｼｯｸM-PRO"/>
        <family val="3"/>
        <charset val="128"/>
      </rPr>
      <t>な状態になっていますか</t>
    </r>
    <rPh sb="0" eb="1">
      <t>ソト</t>
    </rPh>
    <rPh sb="1" eb="3">
      <t>ソウコ</t>
    </rPh>
    <rPh sb="3" eb="4">
      <t>ナイ</t>
    </rPh>
    <phoneticPr fontId="7"/>
  </si>
  <si>
    <r>
      <t>スタッフ休憩室は全体的に</t>
    </r>
    <r>
      <rPr>
        <sz val="9"/>
        <color indexed="10"/>
        <rFont val="HG丸ｺﾞｼｯｸM-PRO"/>
        <family val="3"/>
        <charset val="128"/>
      </rPr>
      <t>整理整頓</t>
    </r>
    <r>
      <rPr>
        <sz val="9"/>
        <color indexed="8"/>
        <rFont val="HG丸ｺﾞｼｯｸM-PRO"/>
        <family val="3"/>
        <charset val="128"/>
      </rPr>
      <t>され、</t>
    </r>
    <r>
      <rPr>
        <sz val="9"/>
        <color indexed="10"/>
        <rFont val="HG丸ｺﾞｼｯｸM-PRO"/>
        <family val="3"/>
        <charset val="128"/>
      </rPr>
      <t>清掃</t>
    </r>
    <r>
      <rPr>
        <sz val="9"/>
        <color indexed="8"/>
        <rFont val="HG丸ｺﾞｼｯｸM-PRO"/>
        <family val="3"/>
        <charset val="128"/>
      </rPr>
      <t>が行われている状態になっていますか</t>
    </r>
    <rPh sb="4" eb="7">
      <t>キュウケイシツ</t>
    </rPh>
    <phoneticPr fontId="7"/>
  </si>
  <si>
    <r>
      <t>分煙がされ喫煙コーナーは</t>
    </r>
    <r>
      <rPr>
        <sz val="9"/>
        <color indexed="10"/>
        <rFont val="HG丸ｺﾞｼｯｸM-PRO"/>
        <family val="3"/>
        <charset val="128"/>
      </rPr>
      <t>きれい</t>
    </r>
    <r>
      <rPr>
        <sz val="9"/>
        <color indexed="8"/>
        <rFont val="HG丸ｺﾞｼｯｸM-PRO"/>
        <family val="3"/>
        <charset val="128"/>
      </rPr>
      <t>な状態ですか、また吸殻処理は適切に行われていますか</t>
    </r>
    <phoneticPr fontId="7"/>
  </si>
  <si>
    <t>※2）子供の車内放置撲滅のための駐車場の巡回チェック表は、審査員の方が直ぐに見て分かる状態で保管をお願いします。</t>
    <rPh sb="3" eb="5">
      <t>コドモ</t>
    </rPh>
    <rPh sb="6" eb="8">
      <t>シャナイ</t>
    </rPh>
    <rPh sb="8" eb="10">
      <t>ホウチ</t>
    </rPh>
    <rPh sb="10" eb="12">
      <t>ボクメツ</t>
    </rPh>
    <rPh sb="16" eb="19">
      <t>チュウシャジョウ</t>
    </rPh>
    <rPh sb="20" eb="22">
      <t>ジュンカイ</t>
    </rPh>
    <rPh sb="26" eb="27">
      <t>ヒョウ</t>
    </rPh>
    <rPh sb="29" eb="32">
      <t>シンサイン</t>
    </rPh>
    <rPh sb="33" eb="34">
      <t>カタ</t>
    </rPh>
    <rPh sb="35" eb="36">
      <t>ス</t>
    </rPh>
    <rPh sb="38" eb="39">
      <t>ミ</t>
    </rPh>
    <rPh sb="40" eb="41">
      <t>ワ</t>
    </rPh>
    <rPh sb="43" eb="45">
      <t>ジョウタイ</t>
    </rPh>
    <rPh sb="46" eb="48">
      <t>ホカン</t>
    </rPh>
    <rPh sb="50" eb="51">
      <t>ネガ</t>
    </rPh>
    <phoneticPr fontId="7"/>
  </si>
  <si>
    <t>※3）管理者業務実務簿及び消防自主点検・防災点検・災害マニュアル確認は審査員が直ぐに確認が出来る場所に準備しておいてください。</t>
    <rPh sb="35" eb="38">
      <t>シンサイン</t>
    </rPh>
    <rPh sb="39" eb="40">
      <t>ス</t>
    </rPh>
    <rPh sb="42" eb="44">
      <t>カクニン</t>
    </rPh>
    <rPh sb="45" eb="47">
      <t>デキ</t>
    </rPh>
    <rPh sb="48" eb="50">
      <t>バショ</t>
    </rPh>
    <rPh sb="51" eb="53">
      <t>ジュンビ</t>
    </rPh>
    <phoneticPr fontId="7"/>
  </si>
  <si>
    <t>※4）更衣室のロッカー内は、当日に一部中の確認をさせて頂きますので予めご了承下さい。</t>
    <rPh sb="3" eb="6">
      <t>コウイシツ</t>
    </rPh>
    <rPh sb="11" eb="12">
      <t>ナイ</t>
    </rPh>
    <rPh sb="14" eb="16">
      <t>トウジツ</t>
    </rPh>
    <rPh sb="17" eb="19">
      <t>イチブ</t>
    </rPh>
    <rPh sb="19" eb="20">
      <t>ナカ</t>
    </rPh>
    <rPh sb="21" eb="23">
      <t>カクニン</t>
    </rPh>
    <rPh sb="27" eb="28">
      <t>イタダ</t>
    </rPh>
    <rPh sb="33" eb="34">
      <t>アラカジ</t>
    </rPh>
    <rPh sb="36" eb="38">
      <t>リョウショウ</t>
    </rPh>
    <rPh sb="38" eb="39">
      <t>クダ</t>
    </rPh>
    <phoneticPr fontId="7"/>
  </si>
  <si>
    <t>得点</t>
    <rPh sb="0" eb="2">
      <t>トクテン</t>
    </rPh>
    <phoneticPr fontId="2"/>
  </si>
  <si>
    <t>合計点</t>
    <rPh sb="0" eb="2">
      <t>ゴウケイ</t>
    </rPh>
    <rPh sb="2" eb="3">
      <t>テン</t>
    </rPh>
    <phoneticPr fontId="2"/>
  </si>
  <si>
    <t>＜ホール編項目＞</t>
    <rPh sb="4" eb="5">
      <t>ヘン</t>
    </rPh>
    <rPh sb="5" eb="7">
      <t>コウモク</t>
    </rPh>
    <phoneticPr fontId="7"/>
  </si>
  <si>
    <t>＜バックヤード編項目＞</t>
    <rPh sb="7" eb="8">
      <t>ヘン</t>
    </rPh>
    <rPh sb="8" eb="10">
      <t>コウモク</t>
    </rPh>
    <phoneticPr fontId="7"/>
  </si>
  <si>
    <t>/ 13</t>
    <phoneticPr fontId="2"/>
  </si>
  <si>
    <t>ホール得点</t>
    <rPh sb="3" eb="5">
      <t>トクテン</t>
    </rPh>
    <phoneticPr fontId="7"/>
  </si>
  <si>
    <t>バックヤード得点</t>
    <rPh sb="6" eb="8">
      <t>トクテン</t>
    </rPh>
    <phoneticPr fontId="7"/>
  </si>
  <si>
    <t>バックヤード全般</t>
    <rPh sb="6" eb="8">
      <t>ゼンパン</t>
    </rPh>
    <phoneticPr fontId="7"/>
  </si>
  <si>
    <r>
      <t>ARENA</t>
    </r>
    <r>
      <rPr>
        <b/>
        <sz val="20"/>
        <rFont val="HG丸ｺﾞｼｯｸM-PRO"/>
        <family val="3"/>
        <charset val="128"/>
      </rPr>
      <t>　共生点検活動（通称：AＫＴ活動）</t>
    </r>
    <rPh sb="6" eb="8">
      <t>キョウセイ</t>
    </rPh>
    <rPh sb="8" eb="10">
      <t>テンケン</t>
    </rPh>
    <rPh sb="10" eb="12">
      <t>カツドウ</t>
    </rPh>
    <rPh sb="13" eb="15">
      <t>ツウショウ</t>
    </rPh>
    <rPh sb="19" eb="21">
      <t>カツドウ</t>
    </rPh>
    <phoneticPr fontId="7"/>
  </si>
  <si>
    <t>【点数表】</t>
    <rPh sb="1" eb="3">
      <t>テンスウ</t>
    </rPh>
    <rPh sb="3" eb="4">
      <t>ヒョウ</t>
    </rPh>
    <phoneticPr fontId="7"/>
  </si>
  <si>
    <t>R3</t>
    <phoneticPr fontId="7"/>
  </si>
  <si>
    <t>R4</t>
    <phoneticPr fontId="7"/>
  </si>
  <si>
    <t>4月</t>
    <rPh sb="1" eb="2">
      <t>ガツ</t>
    </rPh>
    <phoneticPr fontId="7"/>
  </si>
  <si>
    <t>10月</t>
    <rPh sb="2" eb="3">
      <t>ガツ</t>
    </rPh>
    <phoneticPr fontId="7"/>
  </si>
  <si>
    <t>岩槻本店</t>
    <rPh sb="0" eb="2">
      <t>イワツキ</t>
    </rPh>
    <rPh sb="2" eb="4">
      <t>ホンテン</t>
    </rPh>
    <phoneticPr fontId="7"/>
  </si>
  <si>
    <t>古ヶ場店</t>
    <rPh sb="0" eb="1">
      <t>コ</t>
    </rPh>
    <rPh sb="2" eb="3">
      <t>バ</t>
    </rPh>
    <rPh sb="3" eb="4">
      <t>テン</t>
    </rPh>
    <phoneticPr fontId="7"/>
  </si>
  <si>
    <t>桶川店</t>
    <rPh sb="0" eb="3">
      <t>オケガワテン</t>
    </rPh>
    <phoneticPr fontId="7"/>
  </si>
  <si>
    <t>平塚店</t>
    <rPh sb="0" eb="2">
      <t>ヒラツカ</t>
    </rPh>
    <rPh sb="2" eb="3">
      <t>テン</t>
    </rPh>
    <phoneticPr fontId="7"/>
  </si>
  <si>
    <t>ふじみ野店</t>
    <rPh sb="3" eb="4">
      <t>ノ</t>
    </rPh>
    <rPh sb="4" eb="5">
      <t>テン</t>
    </rPh>
    <phoneticPr fontId="7"/>
  </si>
  <si>
    <t>美女木店</t>
    <rPh sb="0" eb="3">
      <t>ビジョギ</t>
    </rPh>
    <rPh sb="3" eb="4">
      <t>テン</t>
    </rPh>
    <phoneticPr fontId="7"/>
  </si>
  <si>
    <t>鶴瀬店</t>
    <rPh sb="0" eb="2">
      <t>ツルセ</t>
    </rPh>
    <rPh sb="2" eb="3">
      <t>テン</t>
    </rPh>
    <phoneticPr fontId="7"/>
  </si>
  <si>
    <t>本部</t>
    <rPh sb="0" eb="2">
      <t>ホンブ</t>
    </rPh>
    <phoneticPr fontId="7"/>
  </si>
  <si>
    <t>【順位】</t>
    <rPh sb="1" eb="3">
      <t>ジュンイ</t>
    </rPh>
    <phoneticPr fontId="7"/>
  </si>
  <si>
    <t>【店舗別チェック項目分析表】</t>
    <rPh sb="1" eb="3">
      <t>テンポ</t>
    </rPh>
    <rPh sb="3" eb="4">
      <t>ベツ</t>
    </rPh>
    <rPh sb="8" eb="10">
      <t>コウモク</t>
    </rPh>
    <rPh sb="10" eb="12">
      <t>ブンセキ</t>
    </rPh>
    <rPh sb="12" eb="13">
      <t>ヒョウ</t>
    </rPh>
    <phoneticPr fontId="7"/>
  </si>
  <si>
    <t>【7月　強化ポイント　順位表】　※各審査員の判断になりますが、優秀店は１位で降順となっています。</t>
    <rPh sb="2" eb="3">
      <t>ガツ</t>
    </rPh>
    <rPh sb="4" eb="6">
      <t>キョウカ</t>
    </rPh>
    <rPh sb="11" eb="13">
      <t>ジュンイ</t>
    </rPh>
    <rPh sb="13" eb="14">
      <t>ヒョウ</t>
    </rPh>
    <rPh sb="17" eb="18">
      <t>カク</t>
    </rPh>
    <rPh sb="18" eb="21">
      <t>シンサイン</t>
    </rPh>
    <rPh sb="22" eb="24">
      <t>ハンダン</t>
    </rPh>
    <rPh sb="31" eb="33">
      <t>ユウシュウ</t>
    </rPh>
    <rPh sb="33" eb="34">
      <t>テン</t>
    </rPh>
    <rPh sb="36" eb="37">
      <t>イ</t>
    </rPh>
    <rPh sb="38" eb="40">
      <t>コウジュン</t>
    </rPh>
    <phoneticPr fontId="7"/>
  </si>
  <si>
    <t>上尾店</t>
    <rPh sb="0" eb="3">
      <t>アゲオテン</t>
    </rPh>
    <phoneticPr fontId="7"/>
  </si>
  <si>
    <t>丸ヶ崎店</t>
    <phoneticPr fontId="7"/>
  </si>
  <si>
    <r>
      <t>更衣室内の床・ロッカー・鏡などが</t>
    </r>
    <r>
      <rPr>
        <sz val="9"/>
        <color rgb="FFFF0000"/>
        <rFont val="HG丸ｺﾞｼｯｸM-PRO"/>
        <family val="3"/>
        <charset val="128"/>
      </rPr>
      <t>きれい</t>
    </r>
    <r>
      <rPr>
        <sz val="9"/>
        <color theme="1"/>
        <rFont val="HG丸ｺﾞｼｯｸM-PRO"/>
        <family val="3"/>
        <charset val="128"/>
      </rPr>
      <t>で、</t>
    </r>
    <r>
      <rPr>
        <sz val="9"/>
        <color rgb="FFFF0000"/>
        <rFont val="HG丸ｺﾞｼｯｸM-PRO"/>
        <family val="3"/>
        <charset val="128"/>
      </rPr>
      <t>使用者名記</t>
    </r>
    <r>
      <rPr>
        <sz val="9"/>
        <color theme="1"/>
        <rFont val="HG丸ｺﾞｼｯｸM-PRO"/>
        <family val="3"/>
        <charset val="128"/>
      </rPr>
      <t>・</t>
    </r>
    <r>
      <rPr>
        <sz val="9"/>
        <color rgb="FFFF0000"/>
        <rFont val="HG丸ｺﾞｼｯｸM-PRO"/>
        <family val="3"/>
        <charset val="128"/>
      </rPr>
      <t>施錠</t>
    </r>
    <r>
      <rPr>
        <sz val="9"/>
        <color theme="1"/>
        <rFont val="HG丸ｺﾞｼｯｸM-PRO"/>
        <family val="3"/>
        <charset val="128"/>
      </rPr>
      <t>、ロッカー内は</t>
    </r>
    <r>
      <rPr>
        <sz val="9"/>
        <color rgb="FFFF0000"/>
        <rFont val="HG丸ｺﾞｼｯｸM-PRO"/>
        <family val="3"/>
        <charset val="128"/>
      </rPr>
      <t>整理整頓</t>
    </r>
    <r>
      <rPr>
        <sz val="9"/>
        <color theme="1"/>
        <rFont val="HG丸ｺﾞｼｯｸM-PRO"/>
        <family val="3"/>
        <charset val="128"/>
      </rPr>
      <t>されていますか　</t>
    </r>
    <r>
      <rPr>
        <sz val="9"/>
        <color rgb="FFFF0000"/>
        <rFont val="HG丸ｺﾞｼｯｸM-PRO"/>
        <family val="3"/>
        <charset val="128"/>
      </rPr>
      <t>※抜き打ちﾁｪｯｸ含む</t>
    </r>
    <rPh sb="0" eb="3">
      <t>コウイシツ</t>
    </rPh>
    <rPh sb="3" eb="4">
      <t>ナイ</t>
    </rPh>
    <rPh sb="12" eb="13">
      <t>カガミ</t>
    </rPh>
    <rPh sb="24" eb="25">
      <t>メイ</t>
    </rPh>
    <rPh sb="25" eb="26">
      <t>キ</t>
    </rPh>
    <rPh sb="27" eb="29">
      <t>セジョウ</t>
    </rPh>
    <rPh sb="49" eb="50">
      <t>ヌ</t>
    </rPh>
    <rPh sb="51" eb="52">
      <t>ウ</t>
    </rPh>
    <rPh sb="57" eb="58">
      <t>フク</t>
    </rPh>
    <phoneticPr fontId="7"/>
  </si>
  <si>
    <t>※出来ていない（1点・0点）部分の理由を必ず明記して下さい。</t>
    <rPh sb="1" eb="3">
      <t>デキ</t>
    </rPh>
    <rPh sb="9" eb="10">
      <t>テン</t>
    </rPh>
    <rPh sb="12" eb="13">
      <t>テン</t>
    </rPh>
    <rPh sb="14" eb="16">
      <t>ブブン</t>
    </rPh>
    <rPh sb="17" eb="19">
      <t>リユウ</t>
    </rPh>
    <rPh sb="20" eb="21">
      <t>カナラ</t>
    </rPh>
    <rPh sb="22" eb="24">
      <t>メイキ</t>
    </rPh>
    <rPh sb="26" eb="27">
      <t>クダ</t>
    </rPh>
    <phoneticPr fontId="7"/>
  </si>
  <si>
    <t>※掲示物は基本「水平・垂直・平行」で4点止めになります。但し基本以外では意図的に統一されている場合は除きます。</t>
    <rPh sb="1" eb="3">
      <t>ケイジ</t>
    </rPh>
    <rPh sb="3" eb="4">
      <t>ブツ</t>
    </rPh>
    <rPh sb="5" eb="7">
      <t>キホン</t>
    </rPh>
    <rPh sb="8" eb="10">
      <t>スイヘイ</t>
    </rPh>
    <rPh sb="11" eb="13">
      <t>スイチョク</t>
    </rPh>
    <rPh sb="14" eb="16">
      <t>ヘイコウ</t>
    </rPh>
    <rPh sb="19" eb="20">
      <t>テン</t>
    </rPh>
    <rPh sb="20" eb="21">
      <t>ト</t>
    </rPh>
    <rPh sb="28" eb="29">
      <t>タダ</t>
    </rPh>
    <rPh sb="30" eb="32">
      <t>キホン</t>
    </rPh>
    <rPh sb="32" eb="34">
      <t>イガイ</t>
    </rPh>
    <rPh sb="36" eb="39">
      <t>イトテキ</t>
    </rPh>
    <rPh sb="40" eb="42">
      <t>トウイツ</t>
    </rPh>
    <rPh sb="47" eb="49">
      <t>バアイ</t>
    </rPh>
    <rPh sb="50" eb="51">
      <t>ノゾ</t>
    </rPh>
    <phoneticPr fontId="7"/>
  </si>
  <si>
    <t>※1）従業者名簿はキングオブタイムの順番に並べておいて下さい。チェック時に助かります。また一覧表と台帳で氏名を照合します。</t>
    <phoneticPr fontId="7"/>
  </si>
  <si>
    <t>ホール項目</t>
    <rPh sb="3" eb="5">
      <t>コウモク</t>
    </rPh>
    <phoneticPr fontId="2"/>
  </si>
  <si>
    <t>バックヤード　　　全般</t>
    <rPh sb="9" eb="11">
      <t>ゼンパン</t>
    </rPh>
    <phoneticPr fontId="2"/>
  </si>
  <si>
    <r>
      <t>トイレのゴミ箱は</t>
    </r>
    <r>
      <rPr>
        <sz val="9"/>
        <color rgb="FFFF0000"/>
        <rFont val="HG丸ｺﾞｼｯｸM-PRO"/>
        <family val="3"/>
        <charset val="128"/>
      </rPr>
      <t>ペーパータオルが溢れ</t>
    </r>
    <r>
      <rPr>
        <sz val="9"/>
        <color indexed="8"/>
        <rFont val="HG丸ｺﾞｼｯｸM-PRO"/>
        <family val="3"/>
        <charset val="128"/>
      </rPr>
      <t>ていたり、備品などは切れていないか</t>
    </r>
    <rPh sb="6" eb="7">
      <t>ハコ</t>
    </rPh>
    <rPh sb="16" eb="17">
      <t>アフ</t>
    </rPh>
    <rPh sb="23" eb="25">
      <t>ビヒン</t>
    </rPh>
    <rPh sb="28" eb="29">
      <t>キ</t>
    </rPh>
    <phoneticPr fontId="7"/>
  </si>
  <si>
    <t>10点</t>
    <rPh sb="2" eb="3">
      <t>テン</t>
    </rPh>
    <phoneticPr fontId="2"/>
  </si>
  <si>
    <t>4点</t>
    <rPh sb="1" eb="2">
      <t>テン</t>
    </rPh>
    <phoneticPr fontId="2"/>
  </si>
  <si>
    <t>0点</t>
    <rPh sb="1" eb="2">
      <t>テン</t>
    </rPh>
    <phoneticPr fontId="2"/>
  </si>
  <si>
    <t>→まだ一部改善の余地がある（アドバイスコメントを入力）</t>
    <phoneticPr fontId="2"/>
  </si>
  <si>
    <t>→全店で取り組んだ方が良いと思う取組みがある（どこが良いのかコメントを入力）</t>
    <phoneticPr fontId="2"/>
  </si>
  <si>
    <t>→店舗としては全て良い取組みになっている（どこが良いのかコメントを入力）</t>
    <phoneticPr fontId="2"/>
  </si>
  <si>
    <t>店舗の軒下や出入り口、賞品交換所・駐輪場などにくもの巣はないか、また鳥の巣などがある場合は、糞害防止対策や注意表示はされているか</t>
    <rPh sb="0" eb="2">
      <t>テンポ</t>
    </rPh>
    <rPh sb="3" eb="5">
      <t>ノキシタ</t>
    </rPh>
    <rPh sb="6" eb="8">
      <t>デイ</t>
    </rPh>
    <rPh sb="9" eb="10">
      <t>グチ</t>
    </rPh>
    <rPh sb="11" eb="13">
      <t>ショウヒン</t>
    </rPh>
    <rPh sb="13" eb="16">
      <t>コウカンジョ</t>
    </rPh>
    <rPh sb="17" eb="20">
      <t>チュウリンジョウ</t>
    </rPh>
    <rPh sb="26" eb="27">
      <t>ス</t>
    </rPh>
    <rPh sb="34" eb="35">
      <t>トリ</t>
    </rPh>
    <rPh sb="36" eb="37">
      <t>ス</t>
    </rPh>
    <rPh sb="42" eb="44">
      <t>バアイ</t>
    </rPh>
    <rPh sb="46" eb="47">
      <t>フン</t>
    </rPh>
    <rPh sb="47" eb="48">
      <t>ガイ</t>
    </rPh>
    <rPh sb="48" eb="52">
      <t>ボウシタイサク</t>
    </rPh>
    <rPh sb="53" eb="57">
      <t>チュウイヒョウジ</t>
    </rPh>
    <phoneticPr fontId="7"/>
  </si>
  <si>
    <r>
      <t>トイレは</t>
    </r>
    <r>
      <rPr>
        <sz val="9"/>
        <color rgb="FFFF0000"/>
        <rFont val="HG丸ｺﾞｼｯｸM-PRO"/>
        <family val="3"/>
        <charset val="128"/>
      </rPr>
      <t>不快な臭い</t>
    </r>
    <r>
      <rPr>
        <sz val="9"/>
        <color indexed="8"/>
        <rFont val="HG丸ｺﾞｼｯｸM-PRO"/>
        <family val="3"/>
        <charset val="128"/>
      </rPr>
      <t>がしていないか</t>
    </r>
    <rPh sb="4" eb="6">
      <t>フカイ</t>
    </rPh>
    <rPh sb="7" eb="8">
      <t>ニオ</t>
    </rPh>
    <phoneticPr fontId="7"/>
  </si>
  <si>
    <t>トイレ内の洗面台・便器や壁・ドア・床などに汚れやゴミが無く、清潔に保たれていましたか　※個室・洗面台下の棚の中含む</t>
    <rPh sb="3" eb="4">
      <t>ナイ</t>
    </rPh>
    <rPh sb="5" eb="8">
      <t>センメンダイ</t>
    </rPh>
    <rPh sb="12" eb="13">
      <t>カベ</t>
    </rPh>
    <rPh sb="17" eb="18">
      <t>ユカ</t>
    </rPh>
    <rPh sb="21" eb="22">
      <t>ヨゴ</t>
    </rPh>
    <rPh sb="27" eb="28">
      <t>ナ</t>
    </rPh>
    <rPh sb="44" eb="46">
      <t>コシツ</t>
    </rPh>
    <phoneticPr fontId="7"/>
  </si>
  <si>
    <t>外回りのＰＯＰ・装飾物に歪みや汚れ、色あせなどはありませんでしたか</t>
    <rPh sb="0" eb="2">
      <t>ソトマワ</t>
    </rPh>
    <phoneticPr fontId="7"/>
  </si>
  <si>
    <t>ホール内のＰＯＰやポスター、装飾品・掲示物などは曲がりや歪み、破れや汚れ・色あせはありませんでしたか</t>
    <rPh sb="3" eb="4">
      <t>ナイ</t>
    </rPh>
    <rPh sb="14" eb="17">
      <t>ソウショクヒン</t>
    </rPh>
    <rPh sb="18" eb="21">
      <t>ケイジブツ</t>
    </rPh>
    <rPh sb="24" eb="25">
      <t>マ</t>
    </rPh>
    <rPh sb="28" eb="29">
      <t>ユガ</t>
    </rPh>
    <rPh sb="31" eb="32">
      <t>ヤブ</t>
    </rPh>
    <rPh sb="34" eb="35">
      <t>ヨゴ</t>
    </rPh>
    <rPh sb="37" eb="38">
      <t>イロ</t>
    </rPh>
    <phoneticPr fontId="7"/>
  </si>
  <si>
    <t>地域清掃活動は月１回行われており、チェックモレはありませんでしたか　※社員以上全員</t>
    <rPh sb="0" eb="2">
      <t>チイキ</t>
    </rPh>
    <rPh sb="2" eb="4">
      <t>セイソウ</t>
    </rPh>
    <rPh sb="4" eb="6">
      <t>カツドウ</t>
    </rPh>
    <rPh sb="7" eb="8">
      <t>ツキ</t>
    </rPh>
    <rPh sb="9" eb="10">
      <t>カイ</t>
    </rPh>
    <rPh sb="10" eb="11">
      <t>オコナ</t>
    </rPh>
    <rPh sb="35" eb="37">
      <t>シャイン</t>
    </rPh>
    <rPh sb="37" eb="39">
      <t>イジョウ</t>
    </rPh>
    <rPh sb="39" eb="41">
      <t>ゼンイン</t>
    </rPh>
    <phoneticPr fontId="7"/>
  </si>
  <si>
    <t>事務所の机の上・周辺、パソコン、複合機・電話、ホールコン・モニターはきれいな状態ですか</t>
    <rPh sb="0" eb="2">
      <t>ジム</t>
    </rPh>
    <rPh sb="2" eb="3">
      <t>ショ</t>
    </rPh>
    <rPh sb="16" eb="19">
      <t>フクゴウキ</t>
    </rPh>
    <rPh sb="38" eb="40">
      <t>ジョウタイ</t>
    </rPh>
    <phoneticPr fontId="7"/>
  </si>
  <si>
    <t>スタッフ用のトイレは、床がきれいで、臭いと汚れ（衛生陶器・備え付け器具・換気口）はありませんか</t>
    <rPh sb="4" eb="5">
      <t>ヨウ</t>
    </rPh>
    <phoneticPr fontId="7"/>
  </si>
  <si>
    <t>2025年4月改訂</t>
    <rPh sb="4" eb="5">
      <t>ネン</t>
    </rPh>
    <rPh sb="6" eb="7">
      <t>ツキ</t>
    </rPh>
    <rPh sb="7" eb="9">
      <t>カイテイ</t>
    </rPh>
    <phoneticPr fontId="2"/>
  </si>
  <si>
    <r>
      <rPr>
        <b/>
        <sz val="10"/>
        <color rgb="FFFF0000"/>
        <rFont val="HG丸ｺﾞｼｯｸM-PRO"/>
        <family val="3"/>
        <charset val="128"/>
      </rPr>
      <t>徹底・強化⇒5</t>
    </r>
    <r>
      <rPr>
        <b/>
        <sz val="10"/>
        <color theme="1"/>
        <rFont val="HG丸ｺﾞｼｯｸM-PRO"/>
        <family val="3"/>
        <charset val="128"/>
      </rPr>
      <t>、一切指摘も無く良い状態⇒3、一部行き届いていない箇所あり⇒1、全く出来ていない⇒0、該当なし⇒×</t>
    </r>
    <rPh sb="0" eb="2">
      <t>テッテイ</t>
    </rPh>
    <rPh sb="3" eb="5">
      <t>キョウカ</t>
    </rPh>
    <rPh sb="8" eb="10">
      <t>イッサイ</t>
    </rPh>
    <rPh sb="10" eb="12">
      <t>シテキ</t>
    </rPh>
    <rPh sb="13" eb="14">
      <t>ナ</t>
    </rPh>
    <rPh sb="15" eb="16">
      <t>ヨ</t>
    </rPh>
    <rPh sb="17" eb="19">
      <t>ジョウタイ</t>
    </rPh>
    <rPh sb="22" eb="24">
      <t>イチブ</t>
    </rPh>
    <rPh sb="24" eb="25">
      <t>ユ</t>
    </rPh>
    <rPh sb="26" eb="27">
      <t>トド</t>
    </rPh>
    <rPh sb="32" eb="34">
      <t>カショ</t>
    </rPh>
    <rPh sb="39" eb="40">
      <t>マッタ</t>
    </rPh>
    <rPh sb="41" eb="43">
      <t>デキ</t>
    </rPh>
    <phoneticPr fontId="7"/>
  </si>
  <si>
    <t>8点</t>
    <rPh sb="1" eb="2">
      <t>テン</t>
    </rPh>
    <phoneticPr fontId="2"/>
  </si>
  <si>
    <r>
      <t>従業者名簿や会員申込用紙の控えは</t>
    </r>
    <r>
      <rPr>
        <sz val="9"/>
        <color indexed="10"/>
        <rFont val="HG丸ｺﾞｼｯｸM-PRO"/>
        <family val="3"/>
        <charset val="128"/>
      </rPr>
      <t>施錠された場所に保管</t>
    </r>
    <r>
      <rPr>
        <sz val="9"/>
        <rFont val="HG丸ｺﾞｼｯｸM-PRO"/>
        <family val="3"/>
        <charset val="128"/>
      </rPr>
      <t>され、わかりやすく</t>
    </r>
    <r>
      <rPr>
        <sz val="9"/>
        <color indexed="10"/>
        <rFont val="HG丸ｺﾞｼｯｸM-PRO"/>
        <family val="3"/>
        <charset val="128"/>
      </rPr>
      <t>ファイル管理</t>
    </r>
    <r>
      <rPr>
        <sz val="9"/>
        <rFont val="HG丸ｺﾞｼｯｸM-PRO"/>
        <family val="3"/>
        <charset val="128"/>
      </rPr>
      <t>されていますか　</t>
    </r>
    <r>
      <rPr>
        <sz val="9"/>
        <color rgb="FFFF0000"/>
        <rFont val="HG丸ｺﾞｼｯｸM-PRO"/>
        <family val="3"/>
        <charset val="128"/>
      </rPr>
      <t>※履歴書保管含む</t>
    </r>
    <rPh sb="2" eb="3">
      <t>シャ</t>
    </rPh>
    <rPh sb="3" eb="5">
      <t>メイボ</t>
    </rPh>
    <rPh sb="50" eb="53">
      <t>リレキショ</t>
    </rPh>
    <rPh sb="53" eb="55">
      <t>ホカン</t>
    </rPh>
    <rPh sb="55" eb="56">
      <t>フク</t>
    </rPh>
    <phoneticPr fontId="7"/>
  </si>
  <si>
    <r>
      <t>管理者業務実務簿及び消防自主点検・</t>
    </r>
    <r>
      <rPr>
        <b/>
        <sz val="9"/>
        <color theme="0"/>
        <rFont val="HG丸ｺﾞｼｯｸM-PRO"/>
        <family val="3"/>
        <charset val="128"/>
      </rPr>
      <t>防災点検・災害マニュアル確認</t>
    </r>
    <r>
      <rPr>
        <sz val="9"/>
        <color theme="0"/>
        <rFont val="HG丸ｺﾞｼｯｸM-PRO"/>
        <family val="3"/>
        <charset val="128"/>
      </rPr>
      <t>は実施され、表に漏れ無く記入・チェックされていますか</t>
    </r>
    <rPh sb="0" eb="3">
      <t>カンリシャ</t>
    </rPh>
    <rPh sb="3" eb="5">
      <t>ギョウム</t>
    </rPh>
    <rPh sb="5" eb="7">
      <t>ジツム</t>
    </rPh>
    <rPh sb="7" eb="8">
      <t>ボ</t>
    </rPh>
    <rPh sb="8" eb="9">
      <t>オヨ</t>
    </rPh>
    <rPh sb="10" eb="12">
      <t>ショウボウ</t>
    </rPh>
    <rPh sb="12" eb="14">
      <t>ジシュ</t>
    </rPh>
    <rPh sb="14" eb="16">
      <t>テンケン</t>
    </rPh>
    <rPh sb="17" eb="19">
      <t>ボウサイ</t>
    </rPh>
    <rPh sb="19" eb="21">
      <t>テンケン</t>
    </rPh>
    <rPh sb="22" eb="24">
      <t>サイガイ</t>
    </rPh>
    <rPh sb="29" eb="31">
      <t>カクニン</t>
    </rPh>
    <rPh sb="32" eb="34">
      <t>ジッシ</t>
    </rPh>
    <rPh sb="37" eb="38">
      <t>ヒョウ</t>
    </rPh>
    <rPh sb="39" eb="40">
      <t>モ</t>
    </rPh>
    <rPh sb="41" eb="42">
      <t>ナ</t>
    </rPh>
    <rPh sb="43" eb="45">
      <t>キニュウ</t>
    </rPh>
    <phoneticPr fontId="7"/>
  </si>
  <si>
    <t>R7</t>
    <phoneticPr fontId="7"/>
  </si>
  <si>
    <t>R8</t>
    <phoneticPr fontId="7"/>
  </si>
  <si>
    <t>上期</t>
    <rPh sb="0" eb="2">
      <t>カミキ</t>
    </rPh>
    <phoneticPr fontId="2"/>
  </si>
  <si>
    <t>下期</t>
    <rPh sb="0" eb="2">
      <t>シモキ</t>
    </rPh>
    <phoneticPr fontId="2"/>
  </si>
  <si>
    <t>机の上・周辺、ＦＡＸ・パソコン、電話、ホールコン・モニターはきれいか？</t>
    <phoneticPr fontId="7"/>
  </si>
  <si>
    <t>階段に物が置きっ放しになっていないか？また汚れはないか？</t>
    <rPh sb="0" eb="2">
      <t>カイダン</t>
    </rPh>
    <rPh sb="3" eb="4">
      <t>モノ</t>
    </rPh>
    <rPh sb="5" eb="6">
      <t>オ</t>
    </rPh>
    <rPh sb="8" eb="9">
      <t>パナ</t>
    </rPh>
    <rPh sb="21" eb="22">
      <t>ヨゴ</t>
    </rPh>
    <phoneticPr fontId="7"/>
  </si>
  <si>
    <r>
      <rPr>
        <sz val="9"/>
        <color rgb="FFFF0000"/>
        <rFont val="HG丸ｺﾞｼｯｸM-PRO"/>
        <family val="3"/>
        <charset val="128"/>
      </rPr>
      <t>出入口及び施設内の手指の消毒設備は、お客様が使用しやすい場所に設置</t>
    </r>
    <r>
      <rPr>
        <sz val="9"/>
        <color theme="1"/>
        <rFont val="HG丸ｺﾞｼｯｸM-PRO"/>
        <family val="3"/>
        <charset val="128"/>
      </rPr>
      <t>されているか　</t>
    </r>
    <r>
      <rPr>
        <sz val="9"/>
        <color rgb="FFFF0000"/>
        <rFont val="HG丸ｺﾞｼｯｸM-PRO"/>
        <family val="3"/>
        <charset val="128"/>
      </rPr>
      <t>※平塚店のみ出入口を除く</t>
    </r>
    <rPh sb="19" eb="21">
      <t>キャクサマ</t>
    </rPh>
    <rPh sb="22" eb="24">
      <t>シヨウ</t>
    </rPh>
    <rPh sb="28" eb="30">
      <t>バショ</t>
    </rPh>
    <rPh sb="41" eb="44">
      <t>ヒラツカテン</t>
    </rPh>
    <rPh sb="46" eb="49">
      <t>デイリグチ</t>
    </rPh>
    <rPh sb="50" eb="51">
      <t>ノゾ</t>
    </rPh>
    <phoneticPr fontId="2"/>
  </si>
  <si>
    <r>
      <t>店外に設けられた</t>
    </r>
    <r>
      <rPr>
        <sz val="9"/>
        <color rgb="FFFF0000"/>
        <rFont val="HG丸ｺﾞｼｯｸM-PRO"/>
        <family val="3"/>
        <charset val="128"/>
      </rPr>
      <t>喫煙コーナー</t>
    </r>
    <r>
      <rPr>
        <sz val="9"/>
        <color theme="1"/>
        <rFont val="HG丸ｺﾞｼｯｸM-PRO"/>
        <family val="3"/>
        <charset val="128"/>
      </rPr>
      <t>内や周辺、置き灰皿は吸殻が溜まっていることなく</t>
    </r>
    <r>
      <rPr>
        <sz val="9"/>
        <color rgb="FFFF0000"/>
        <rFont val="HG丸ｺﾞｼｯｸM-PRO"/>
        <family val="3"/>
        <charset val="128"/>
      </rPr>
      <t>清潔</t>
    </r>
    <r>
      <rPr>
        <sz val="9"/>
        <color theme="1"/>
        <rFont val="HG丸ｺﾞｼｯｸM-PRO"/>
        <family val="3"/>
        <charset val="128"/>
      </rPr>
      <t>に保たれているか　</t>
    </r>
    <r>
      <rPr>
        <sz val="9"/>
        <color rgb="FFFF0000"/>
        <rFont val="HG丸ｺﾞｼｯｸM-PRO"/>
        <family val="3"/>
        <charset val="128"/>
      </rPr>
      <t>※桶川店一部店内</t>
    </r>
    <rPh sb="0" eb="2">
      <t>テンガイ</t>
    </rPh>
    <rPh sb="3" eb="4">
      <t>モウ</t>
    </rPh>
    <rPh sb="8" eb="10">
      <t>キツエン</t>
    </rPh>
    <rPh sb="14" eb="15">
      <t>ナイ</t>
    </rPh>
    <rPh sb="16" eb="18">
      <t>シュウヘン</t>
    </rPh>
    <rPh sb="19" eb="20">
      <t>オ</t>
    </rPh>
    <rPh sb="21" eb="23">
      <t>ハイザラ</t>
    </rPh>
    <rPh sb="24" eb="26">
      <t>スイガラ</t>
    </rPh>
    <rPh sb="27" eb="28">
      <t>タ</t>
    </rPh>
    <rPh sb="37" eb="39">
      <t>セイケツ</t>
    </rPh>
    <rPh sb="40" eb="41">
      <t>タモ</t>
    </rPh>
    <rPh sb="49" eb="51">
      <t>オケガワ</t>
    </rPh>
    <rPh sb="51" eb="52">
      <t>テン</t>
    </rPh>
    <rPh sb="52" eb="54">
      <t>イチブ</t>
    </rPh>
    <rPh sb="54" eb="56">
      <t>テンナイ</t>
    </rPh>
    <phoneticPr fontId="2"/>
  </si>
  <si>
    <t>令和８年</t>
    <rPh sb="0" eb="1">
      <t>レイ</t>
    </rPh>
    <rPh sb="1" eb="2">
      <t>ワ</t>
    </rPh>
    <rPh sb="3" eb="4">
      <t>ネン</t>
    </rPh>
    <phoneticPr fontId="7"/>
  </si>
  <si>
    <t>強化① ５S改善（整理・整頓・清掃・清潔・躾）</t>
    <rPh sb="0" eb="2">
      <t>キョウカ</t>
    </rPh>
    <phoneticPr fontId="7"/>
  </si>
  <si>
    <t>強化①②</t>
    <rPh sb="0" eb="2">
      <t>キョウカ</t>
    </rPh>
    <phoneticPr fontId="2"/>
  </si>
  <si>
    <t>ホール及びバックヤードにて、５Sの取組みはありましたか</t>
    <phoneticPr fontId="2"/>
  </si>
  <si>
    <t>強化② AI活用による業務改善・効率化</t>
    <rPh sb="0" eb="2">
      <t>キョウカ</t>
    </rPh>
    <rPh sb="6" eb="8">
      <t>カツヨウ</t>
    </rPh>
    <rPh sb="11" eb="15">
      <t>ギョウムカイゼン</t>
    </rPh>
    <rPh sb="16" eb="19">
      <t>コウリツカ</t>
    </rPh>
    <phoneticPr fontId="7"/>
  </si>
  <si>
    <t>５Sへの取組み得点</t>
    <rPh sb="4" eb="6">
      <t>トリク</t>
    </rPh>
    <rPh sb="7" eb="9">
      <t>トクテン</t>
    </rPh>
    <phoneticPr fontId="7"/>
  </si>
  <si>
    <t>※得点は左下の4種類の中から該当する評価点として選択してください</t>
    <rPh sb="1" eb="3">
      <t>トクテン</t>
    </rPh>
    <rPh sb="4" eb="5">
      <t>ヒダリ</t>
    </rPh>
    <rPh sb="5" eb="6">
      <t>シタ</t>
    </rPh>
    <rPh sb="8" eb="10">
      <t>シュルイ</t>
    </rPh>
    <rPh sb="11" eb="12">
      <t>ナカ</t>
    </rPh>
    <rPh sb="14" eb="16">
      <t>ガイトウ</t>
    </rPh>
    <rPh sb="18" eb="21">
      <t>ヒョウカテン</t>
    </rPh>
    <rPh sb="24" eb="26">
      <t>センタク</t>
    </rPh>
    <phoneticPr fontId="7"/>
  </si>
  <si>
    <t>ホール及びバックヤードにて、AI活用による業務改善・効率化はありましたか</t>
    <rPh sb="16" eb="18">
      <t>カツヨウ</t>
    </rPh>
    <rPh sb="21" eb="23">
      <t>ギョウム</t>
    </rPh>
    <rPh sb="26" eb="29">
      <t>コウリツカ</t>
    </rPh>
    <phoneticPr fontId="2"/>
  </si>
  <si>
    <t>AI活用による業務改善への取組み得点</t>
    <rPh sb="2" eb="4">
      <t>カツヨウ</t>
    </rPh>
    <rPh sb="7" eb="11">
      <t>ギョウムカイゼン</t>
    </rPh>
    <rPh sb="13" eb="15">
      <t>トリク</t>
    </rPh>
    <rPh sb="16" eb="18">
      <t>トクテン</t>
    </rPh>
    <phoneticPr fontId="7"/>
  </si>
  <si>
    <t>→何もやっていない、ビフォーアフターの掲示・日付記載が一切ない</t>
    <rPh sb="1" eb="2">
      <t>ナニ</t>
    </rPh>
    <rPh sb="19" eb="21">
      <t>ケイジ</t>
    </rPh>
    <rPh sb="22" eb="24">
      <t>ヒヅケ</t>
    </rPh>
    <rPh sb="24" eb="26">
      <t>キサイ</t>
    </rPh>
    <phoneticPr fontId="2"/>
  </si>
  <si>
    <t>（必須部屋）　　　42：賞品倉庫　、43：部備品倉庫　44：販促物倉庫　、45：更衣室　、47：各部屋</t>
    <rPh sb="1" eb="3">
      <t>ヒッス</t>
    </rPh>
    <rPh sb="3" eb="5">
      <t>ヘヤ</t>
    </rPh>
    <rPh sb="12" eb="14">
      <t>ショウヒン</t>
    </rPh>
    <rPh sb="22" eb="23">
      <t>ビ</t>
    </rPh>
    <rPh sb="48" eb="49">
      <t>カク</t>
    </rPh>
    <phoneticPr fontId="7"/>
  </si>
  <si>
    <t>５S改善（整理・整頓・清掃・清潔・躾）への取組み</t>
    <phoneticPr fontId="7"/>
  </si>
  <si>
    <t>第　173　回　　ＡＫＴ活動審査表</t>
    <rPh sb="0" eb="1">
      <t>ダイ</t>
    </rPh>
    <rPh sb="6" eb="7">
      <t>カイ</t>
    </rPh>
    <rPh sb="12" eb="14">
      <t>カツドウ</t>
    </rPh>
    <rPh sb="14" eb="16">
      <t>シンサ</t>
    </rPh>
    <rPh sb="16" eb="17">
      <t>ヒョウ</t>
    </rPh>
    <phoneticPr fontId="7"/>
  </si>
  <si>
    <t>　点検日：2026年　８月　１４日（金）</t>
    <rPh sb="1" eb="3">
      <t>テンケン</t>
    </rPh>
    <rPh sb="3" eb="4">
      <t>ビ</t>
    </rPh>
    <rPh sb="9" eb="10">
      <t>ネン</t>
    </rPh>
    <rPh sb="12" eb="13">
      <t>ツキ</t>
    </rPh>
    <rPh sb="16" eb="17">
      <t>ヒ</t>
    </rPh>
    <rPh sb="18" eb="19">
      <t>キン</t>
    </rPh>
    <phoneticPr fontId="7"/>
  </si>
  <si>
    <t>５S改善（整理・整頓・清掃・清潔・躾）への取組み</t>
    <phoneticPr fontId="2"/>
  </si>
  <si>
    <t>AI活用による業務改善・効率化</t>
    <phoneticPr fontId="7"/>
  </si>
  <si>
    <t>AI活用による業務改善・効率化</t>
    <phoneticPr fontId="2"/>
  </si>
  <si>
    <t>メイン温度：　　　℃　、　湿度　　　％</t>
    <rPh sb="3" eb="5">
      <t>オンド</t>
    </rPh>
    <rPh sb="13" eb="15">
      <t>シツド</t>
    </rPh>
    <phoneticPr fontId="7"/>
  </si>
  <si>
    <t>　　月　日（　　）</t>
    <rPh sb="2" eb="3">
      <t>ツキ</t>
    </rPh>
    <rPh sb="4" eb="5">
      <t>ヒ</t>
    </rPh>
    <phoneticPr fontId="7"/>
  </si>
  <si>
    <t>第  回　</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</si>
</sst>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64" x14ac:knownFonts="1">
    <font>
      <sz val="11"/>
      <color theme="1"/>
      <name val="ＭＳ Ｐゴシック"/>
      <family val="2"/>
      <scheme val="minor"/>
    </font>
    <font>
      <sz val="11"/>
      <color theme="1"/>
      <name val="Meiryo UI"/>
      <family val="3"/>
      <charset val="128"/>
    </font>
    <font>
      <sz val="6"/>
      <name val="ＭＳ Ｐゴシック"/>
      <family val="3"/>
      <charset val="128"/>
      <scheme val="minor"/>
    </font>
    <font>
      <b/>
      <sz val="11"/>
      <color theme="1"/>
      <name val="Meiryo UI"/>
      <family val="3"/>
      <charset val="128"/>
    </font>
    <font>
      <sz val="11"/>
      <color rgb="FFFF0000"/>
      <name val="Meiryo UI"/>
      <family val="3"/>
      <charset val="128"/>
    </font>
    <font>
      <sz val="11"/>
      <name val="ＭＳ Ｐゴシック"/>
      <family val="3"/>
      <charset val="128"/>
    </font>
    <font>
      <sz val="11"/>
      <name val="HG丸ｺﾞｼｯｸM-PRO"/>
      <family val="3"/>
      <charset val="128"/>
    </font>
    <font>
      <sz val="6"/>
      <name val="ＭＳ Ｐゴシック"/>
      <family val="3"/>
      <charset val="128"/>
    </font>
    <font>
      <b/>
      <sz val="22"/>
      <name val="HG丸ｺﾞｼｯｸM-PRO"/>
      <family val="3"/>
      <charset val="128"/>
    </font>
    <font>
      <sz val="12"/>
      <name val="HG丸ｺﾞｼｯｸM-PRO"/>
      <family val="3"/>
      <charset val="128"/>
    </font>
    <font>
      <sz val="10"/>
      <name val="HG丸ｺﾞｼｯｸM-PRO"/>
      <family val="3"/>
      <charset val="128"/>
    </font>
    <font>
      <sz val="10"/>
      <color indexed="8"/>
      <name val="HG丸ｺﾞｼｯｸM-PRO"/>
      <family val="3"/>
      <charset val="128"/>
    </font>
    <font>
      <b/>
      <sz val="11"/>
      <name val="HG丸ｺﾞｼｯｸM-PRO"/>
      <family val="3"/>
      <charset val="128"/>
    </font>
    <font>
      <b/>
      <sz val="10"/>
      <color indexed="8"/>
      <name val="HG丸ｺﾞｼｯｸM-PRO"/>
      <family val="3"/>
      <charset val="128"/>
    </font>
    <font>
      <sz val="10"/>
      <color indexed="10"/>
      <name val="HG丸ｺﾞｼｯｸM-PRO"/>
      <family val="3"/>
      <charset val="128"/>
    </font>
    <font>
      <sz val="10"/>
      <color theme="1"/>
      <name val="HG丸ｺﾞｼｯｸM-PRO"/>
      <family val="3"/>
      <charset val="128"/>
    </font>
    <font>
      <sz val="8"/>
      <color indexed="8"/>
      <name val="HG丸ｺﾞｼｯｸM-PRO"/>
      <family val="3"/>
      <charset val="128"/>
    </font>
    <font>
      <sz val="9"/>
      <name val="HG丸ｺﾞｼｯｸM-PRO"/>
      <family val="3"/>
      <charset val="128"/>
    </font>
    <font>
      <sz val="8"/>
      <name val="HG丸ｺﾞｼｯｸM-PRO"/>
      <family val="3"/>
      <charset val="128"/>
    </font>
    <font>
      <b/>
      <sz val="10"/>
      <color rgb="FFFF0000"/>
      <name val="HG丸ｺﾞｼｯｸM-PRO"/>
      <family val="3"/>
      <charset val="128"/>
    </font>
    <font>
      <sz val="9"/>
      <color theme="1"/>
      <name val="HG丸ｺﾞｼｯｸM-PRO"/>
      <family val="3"/>
      <charset val="128"/>
    </font>
    <font>
      <sz val="9"/>
      <color indexed="10"/>
      <name val="HG丸ｺﾞｼｯｸM-PRO"/>
      <family val="3"/>
      <charset val="128"/>
    </font>
    <font>
      <sz val="9"/>
      <color indexed="8"/>
      <name val="HG丸ｺﾞｼｯｸM-PRO"/>
      <family val="3"/>
      <charset val="128"/>
    </font>
    <font>
      <sz val="11"/>
      <color indexed="8"/>
      <name val="HG丸ｺﾞｼｯｸM-PRO"/>
      <family val="3"/>
      <charset val="128"/>
    </font>
    <font>
      <sz val="20"/>
      <name val="HG丸ｺﾞｼｯｸM-PRO"/>
      <family val="3"/>
      <charset val="128"/>
    </font>
    <font>
      <b/>
      <sz val="12"/>
      <name val="HG丸ｺﾞｼｯｸM-PRO"/>
      <family val="3"/>
      <charset val="128"/>
    </font>
    <font>
      <sz val="11"/>
      <color indexed="10"/>
      <name val="HG丸ｺﾞｼｯｸM-PRO"/>
      <family val="3"/>
      <charset val="128"/>
    </font>
    <font>
      <b/>
      <sz val="14"/>
      <name val="HG丸ｺﾞｼｯｸM-PRO"/>
      <family val="3"/>
      <charset val="128"/>
    </font>
    <font>
      <sz val="11"/>
      <color theme="0"/>
      <name val="HG丸ｺﾞｼｯｸM-PRO"/>
      <family val="3"/>
      <charset val="128"/>
    </font>
    <font>
      <b/>
      <sz val="20"/>
      <color rgb="FFFF0000"/>
      <name val="HG丸ｺﾞｼｯｸM-PRO"/>
      <family val="3"/>
      <charset val="128"/>
    </font>
    <font>
      <sz val="11"/>
      <color rgb="FFFF0000"/>
      <name val="HG丸ｺﾞｼｯｸM-PRO"/>
      <family val="3"/>
      <charset val="128"/>
    </font>
    <font>
      <sz val="16"/>
      <color rgb="FFFF0000"/>
      <name val="HG丸ｺﾞｼｯｸM-PRO"/>
      <family val="3"/>
      <charset val="128"/>
    </font>
    <font>
      <b/>
      <sz val="20"/>
      <name val="HG丸ｺﾞｼｯｸM-PRO"/>
      <family val="3"/>
      <charset val="128"/>
    </font>
    <font>
      <b/>
      <sz val="16"/>
      <color theme="1"/>
      <name val="HG丸ｺﾞｼｯｸM-PRO"/>
      <family val="3"/>
      <charset val="128"/>
    </font>
    <font>
      <sz val="14"/>
      <name val="HG丸ｺﾞｼｯｸM-PRO"/>
      <family val="3"/>
      <charset val="128"/>
    </font>
    <font>
      <b/>
      <sz val="9"/>
      <color indexed="81"/>
      <name val="ＭＳ Ｐゴシック"/>
      <family val="3"/>
      <charset val="128"/>
    </font>
    <font>
      <b/>
      <sz val="10"/>
      <color theme="0"/>
      <name val="HG丸ｺﾞｼｯｸM-PRO"/>
      <family val="3"/>
      <charset val="128"/>
    </font>
    <font>
      <sz val="9"/>
      <color rgb="FFFF0000"/>
      <name val="HG丸ｺﾞｼｯｸM-PRO"/>
      <family val="3"/>
      <charset val="128"/>
    </font>
    <font>
      <b/>
      <sz val="8"/>
      <color indexed="10"/>
      <name val="HG丸ｺﾞｼｯｸM-PRO"/>
      <family val="3"/>
      <charset val="128"/>
    </font>
    <font>
      <b/>
      <sz val="11"/>
      <color theme="0"/>
      <name val="HG丸ｺﾞｼｯｸM-PRO"/>
      <family val="3"/>
      <charset val="128"/>
    </font>
    <font>
      <b/>
      <sz val="18"/>
      <color theme="1"/>
      <name val="Meiryo UI"/>
      <family val="3"/>
      <charset val="128"/>
    </font>
    <font>
      <b/>
      <sz val="10"/>
      <color rgb="FFFF0000"/>
      <name val="Meiryo UI"/>
      <family val="3"/>
      <charset val="128"/>
    </font>
    <font>
      <sz val="18"/>
      <name val="ＭＳ Ｐゴシック"/>
      <family val="3"/>
      <charset val="128"/>
    </font>
    <font>
      <b/>
      <sz val="20"/>
      <name val="ＭＳ Ｐゴシック"/>
      <family val="3"/>
      <charset val="128"/>
    </font>
    <font>
      <b/>
      <sz val="13"/>
      <name val="HG丸ｺﾞｼｯｸM-PRO"/>
      <family val="3"/>
      <charset val="128"/>
    </font>
    <font>
      <sz val="11"/>
      <color theme="1"/>
      <name val="HG丸ｺﾞｼｯｸM-PRO"/>
      <family val="3"/>
      <charset val="128"/>
    </font>
    <font>
      <sz val="24"/>
      <name val="HG丸ｺﾞｼｯｸM-PRO"/>
      <family val="3"/>
      <charset val="128"/>
    </font>
    <font>
      <b/>
      <sz val="12"/>
      <color indexed="10"/>
      <name val="HG丸ｺﾞｼｯｸM-PRO"/>
      <family val="3"/>
      <charset val="128"/>
    </font>
    <font>
      <b/>
      <sz val="36"/>
      <color rgb="FFFF0000"/>
      <name val="HG丸ｺﾞｼｯｸM-PRO"/>
      <family val="3"/>
      <charset val="128"/>
    </font>
    <font>
      <b/>
      <sz val="36"/>
      <color indexed="10"/>
      <name val="HG丸ｺﾞｼｯｸM-PRO"/>
      <family val="3"/>
      <charset val="128"/>
    </font>
    <font>
      <b/>
      <sz val="9.5"/>
      <color rgb="FFFF0000"/>
      <name val="HG丸ｺﾞｼｯｸM-PRO"/>
      <family val="3"/>
      <charset val="128"/>
    </font>
    <font>
      <b/>
      <sz val="18"/>
      <name val="HG丸ｺﾞｼｯｸM-PRO"/>
      <family val="3"/>
      <charset val="128"/>
    </font>
    <font>
      <sz val="18"/>
      <name val="HG丸ｺﾞｼｯｸM-PRO"/>
      <family val="3"/>
      <charset val="128"/>
    </font>
    <font>
      <sz val="6"/>
      <name val="HG丸ｺﾞｼｯｸM-PRO"/>
      <family val="3"/>
      <charset val="128"/>
    </font>
    <font>
      <b/>
      <sz val="10"/>
      <color rgb="FF0000FF"/>
      <name val="HG丸ｺﾞｼｯｸM-PRO"/>
      <family val="3"/>
      <charset val="128"/>
    </font>
    <font>
      <sz val="9"/>
      <color theme="0"/>
      <name val="HG丸ｺﾞｼｯｸM-PRO"/>
      <family val="3"/>
      <charset val="128"/>
    </font>
    <font>
      <b/>
      <sz val="12"/>
      <color indexed="8"/>
      <name val="HG丸ｺﾞｼｯｸM-PRO"/>
      <family val="3"/>
      <charset val="128"/>
    </font>
    <font>
      <b/>
      <sz val="12"/>
      <color indexed="9"/>
      <name val="HG丸ｺﾞｼｯｸM-PRO"/>
      <family val="3"/>
      <charset val="128"/>
    </font>
    <font>
      <sz val="8"/>
      <color rgb="FFFF0000"/>
      <name val="HG丸ｺﾞｼｯｸM-PRO"/>
      <family val="3"/>
      <charset val="128"/>
    </font>
    <font>
      <b/>
      <sz val="10"/>
      <color theme="1"/>
      <name val="HG丸ｺﾞｼｯｸM-PRO"/>
      <family val="3"/>
      <charset val="128"/>
    </font>
    <font>
      <b/>
      <sz val="9"/>
      <color theme="0"/>
      <name val="HG丸ｺﾞｼｯｸM-PRO"/>
      <family val="3"/>
      <charset val="128"/>
    </font>
    <font>
      <sz val="10"/>
      <color theme="0"/>
      <name val="HG丸ｺﾞｼｯｸM-PRO"/>
      <family val="3"/>
      <charset val="128"/>
    </font>
    <font>
      <b/>
      <sz val="12"/>
      <color theme="0"/>
      <name val="HG丸ｺﾞｼｯｸM-PRO"/>
      <family val="3"/>
      <charset val="128"/>
    </font>
    <font>
      <b/>
      <sz val="12"/>
      <color theme="1"/>
      <name val="HG丸ｺﾞｼｯｸM-PRO"/>
      <family val="3"/>
      <charset val="128"/>
    </font>
  </fonts>
  <fills count="15">
    <fill>
      <patternFill patternType="none"/>
    </fill>
    <fill>
      <patternFill patternType="gray125"/>
    </fill>
    <fill>
      <patternFill patternType="solid">
        <fgColor indexed="13"/>
        <bgColor indexed="64"/>
      </patternFill>
    </fill>
    <fill>
      <patternFill patternType="solid">
        <fgColor rgb="FFFF0000"/>
        <bgColor indexed="64"/>
      </patternFill>
    </fill>
    <fill>
      <patternFill patternType="solid">
        <fgColor rgb="FFFFFF00"/>
        <bgColor indexed="64"/>
      </patternFill>
    </fill>
    <fill>
      <patternFill patternType="solid">
        <fgColor indexed="41"/>
        <bgColor indexed="64"/>
      </patternFill>
    </fill>
    <fill>
      <patternFill patternType="solid">
        <fgColor indexed="45"/>
        <bgColor indexed="64"/>
      </patternFill>
    </fill>
    <fill>
      <patternFill patternType="solid">
        <fgColor theme="0"/>
        <bgColor indexed="64"/>
      </patternFill>
    </fill>
    <fill>
      <patternFill patternType="solid">
        <fgColor rgb="FFFFFF99"/>
        <bgColor indexed="64"/>
      </patternFill>
    </fill>
    <fill>
      <patternFill patternType="solid">
        <fgColor rgb="FFFF99FF"/>
        <bgColor indexed="64"/>
      </patternFill>
    </fill>
    <fill>
      <patternFill patternType="solid">
        <fgColor rgb="FFFFCCFF"/>
        <bgColor indexed="64"/>
      </patternFill>
    </fill>
    <fill>
      <patternFill patternType="solid">
        <fgColor indexed="10"/>
        <bgColor indexed="64"/>
      </patternFill>
    </fill>
    <fill>
      <patternFill patternType="solid">
        <fgColor rgb="FF0000FF"/>
        <bgColor indexed="64"/>
      </patternFill>
    </fill>
    <fill>
      <patternFill patternType="solid">
        <fgColor theme="0" tint="-0.14999847407452621"/>
        <bgColor indexed="64"/>
      </patternFill>
    </fill>
    <fill>
      <patternFill patternType="solid">
        <fgColor theme="3" tint="0.59999389629810485"/>
        <bgColor indexed="64"/>
      </patternFill>
    </fill>
  </fills>
  <borders count="112">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thin">
        <color indexed="64"/>
      </right>
      <top/>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hair">
        <color indexed="64"/>
      </top>
      <bottom/>
      <diagonal/>
    </border>
    <border>
      <left/>
      <right/>
      <top style="hair">
        <color indexed="64"/>
      </top>
      <bottom/>
      <diagonal/>
    </border>
    <border>
      <left/>
      <right style="thin">
        <color indexed="64"/>
      </right>
      <top style="hair">
        <color indexed="64"/>
      </top>
      <bottom/>
      <diagonal/>
    </border>
    <border>
      <left style="thin">
        <color indexed="64"/>
      </left>
      <right style="thin">
        <color indexed="64"/>
      </right>
      <top/>
      <bottom style="thin">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bottom style="hair">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bottom style="hair">
        <color indexed="64"/>
      </bottom>
      <diagonal/>
    </border>
    <border>
      <left/>
      <right style="thin">
        <color indexed="64"/>
      </right>
      <top/>
      <bottom style="hair">
        <color indexed="64"/>
      </bottom>
      <diagonal/>
    </border>
    <border>
      <left style="medium">
        <color indexed="64"/>
      </left>
      <right/>
      <top style="thin">
        <color indexed="64"/>
      </top>
      <bottom/>
      <diagonal/>
    </border>
    <border>
      <left/>
      <right style="double">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medium">
        <color indexed="64"/>
      </top>
      <bottom style="double">
        <color indexed="64"/>
      </bottom>
      <diagonal/>
    </border>
    <border>
      <left style="medium">
        <color indexed="64"/>
      </left>
      <right style="thin">
        <color indexed="64"/>
      </right>
      <top style="medium">
        <color indexed="64"/>
      </top>
      <bottom style="double">
        <color indexed="64"/>
      </bottom>
      <diagonal/>
    </border>
    <border>
      <left/>
      <right/>
      <top style="thick">
        <color indexed="64"/>
      </top>
      <bottom/>
      <diagonal/>
    </border>
    <border>
      <left/>
      <right style="thick">
        <color indexed="64"/>
      </right>
      <top style="thick">
        <color indexed="64"/>
      </top>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right/>
      <top/>
      <bottom style="thick">
        <color indexed="64"/>
      </bottom>
      <diagonal/>
    </border>
    <border>
      <left style="thin">
        <color indexed="64"/>
      </left>
      <right/>
      <top/>
      <bottom/>
      <diagonal/>
    </border>
    <border>
      <left style="thick">
        <color indexed="64"/>
      </left>
      <right/>
      <top/>
      <bottom/>
      <diagonal/>
    </border>
    <border>
      <left/>
      <right style="thin">
        <color indexed="64"/>
      </right>
      <top/>
      <bottom/>
      <diagonal/>
    </border>
    <border>
      <left/>
      <right style="thick">
        <color indexed="64"/>
      </right>
      <top/>
      <bottom/>
      <diagonal/>
    </border>
    <border>
      <left style="thick">
        <color indexed="64"/>
      </left>
      <right/>
      <top/>
      <bottom style="thick">
        <color indexed="64"/>
      </bottom>
      <diagonal/>
    </border>
    <border>
      <left/>
      <right style="thick">
        <color indexed="64"/>
      </right>
      <top/>
      <bottom style="thick">
        <color indexed="64"/>
      </bottom>
      <diagonal/>
    </border>
    <border>
      <left style="thick">
        <color indexed="64"/>
      </left>
      <right/>
      <top style="thick">
        <color indexed="64"/>
      </top>
      <bottom/>
      <diagonal/>
    </border>
    <border>
      <left/>
      <right style="dashed">
        <color indexed="64"/>
      </right>
      <top style="medium">
        <color indexed="64"/>
      </top>
      <bottom/>
      <diagonal/>
    </border>
    <border>
      <left/>
      <right style="dashed">
        <color indexed="64"/>
      </right>
      <top/>
      <bottom/>
      <diagonal/>
    </border>
    <border>
      <left style="dashed">
        <color indexed="64"/>
      </left>
      <right/>
      <top/>
      <bottom style="hair">
        <color indexed="64"/>
      </bottom>
      <diagonal/>
    </border>
    <border>
      <left/>
      <right style="medium">
        <color indexed="64"/>
      </right>
      <top/>
      <bottom style="hair">
        <color indexed="64"/>
      </bottom>
      <diagonal/>
    </border>
    <border>
      <left style="dashed">
        <color indexed="64"/>
      </left>
      <right/>
      <top/>
      <bottom style="thin">
        <color indexed="64"/>
      </bottom>
      <diagonal/>
    </border>
    <border>
      <left/>
      <right style="medium">
        <color indexed="64"/>
      </right>
      <top/>
      <bottom style="thin">
        <color indexed="64"/>
      </bottom>
      <diagonal/>
    </border>
    <border>
      <left style="dashed">
        <color indexed="64"/>
      </left>
      <right/>
      <top style="thin">
        <color indexed="64"/>
      </top>
      <bottom style="hair">
        <color indexed="64"/>
      </bottom>
      <diagonal/>
    </border>
    <border>
      <left/>
      <right style="medium">
        <color indexed="64"/>
      </right>
      <top style="thin">
        <color indexed="64"/>
      </top>
      <bottom style="hair">
        <color indexed="64"/>
      </bottom>
      <diagonal/>
    </border>
    <border>
      <left/>
      <right style="dashed">
        <color indexed="64"/>
      </right>
      <top/>
      <bottom style="medium">
        <color indexed="64"/>
      </bottom>
      <diagonal/>
    </border>
    <border>
      <left style="medium">
        <color indexed="64"/>
      </left>
      <right/>
      <top style="medium">
        <color indexed="64"/>
      </top>
      <bottom style="medium">
        <color indexed="64"/>
      </bottom>
      <diagonal/>
    </border>
    <border>
      <left/>
      <right style="thin">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right style="medium">
        <color indexed="64"/>
      </right>
      <top style="hair">
        <color indexed="64"/>
      </top>
      <bottom style="hair">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hair">
        <color indexed="64"/>
      </top>
      <bottom style="medium">
        <color indexed="64"/>
      </bottom>
      <diagonal/>
    </border>
    <border>
      <left/>
      <right/>
      <top style="hair">
        <color indexed="64"/>
      </top>
      <bottom style="medium">
        <color indexed="64"/>
      </bottom>
      <diagonal/>
    </border>
    <border>
      <left/>
      <right style="medium">
        <color indexed="64"/>
      </right>
      <top style="hair">
        <color indexed="64"/>
      </top>
      <bottom style="medium">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hair">
        <color indexed="64"/>
      </bottom>
      <diagonal/>
    </border>
    <border>
      <left style="medium">
        <color indexed="64"/>
      </left>
      <right/>
      <top style="hair">
        <color indexed="64"/>
      </top>
      <bottom style="thin">
        <color indexed="64"/>
      </bottom>
      <diagonal/>
    </border>
    <border>
      <left/>
      <right style="medium">
        <color indexed="64"/>
      </right>
      <top style="hair">
        <color indexed="64"/>
      </top>
      <bottom style="thin">
        <color indexed="64"/>
      </bottom>
      <diagonal/>
    </border>
    <border>
      <left style="medium">
        <color indexed="64"/>
      </left>
      <right/>
      <top style="hair">
        <color indexed="64"/>
      </top>
      <bottom style="medium">
        <color indexed="64"/>
      </bottom>
      <diagonal/>
    </border>
    <border>
      <left style="medium">
        <color indexed="64"/>
      </left>
      <right style="thin">
        <color indexed="64"/>
      </right>
      <top style="medium">
        <color indexed="64"/>
      </top>
      <bottom style="medium">
        <color indexed="64"/>
      </bottom>
      <diagonal/>
    </border>
    <border>
      <left/>
      <right style="medium">
        <color indexed="64"/>
      </right>
      <top style="hair">
        <color indexed="64"/>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hair">
        <color indexed="64"/>
      </top>
      <bottom style="medium">
        <color indexed="64"/>
      </bottom>
      <diagonal/>
    </border>
    <border>
      <left style="thin">
        <color theme="0" tint="-0.14996795556505021"/>
      </left>
      <right/>
      <top style="thin">
        <color theme="0" tint="-0.14996795556505021"/>
      </top>
      <bottom style="thin">
        <color theme="0" tint="-0.14996795556505021"/>
      </bottom>
      <diagonal/>
    </border>
    <border>
      <left/>
      <right style="thin">
        <color theme="0" tint="-0.14996795556505021"/>
      </right>
      <top style="thin">
        <color theme="0" tint="-0.14996795556505021"/>
      </top>
      <bottom style="thin">
        <color theme="0" tint="-0.14996795556505021"/>
      </bottom>
      <diagonal/>
    </border>
    <border>
      <left/>
      <right/>
      <top style="thin">
        <color theme="0" tint="-0.14996795556505021"/>
      </top>
      <bottom/>
      <diagonal/>
    </border>
  </borders>
  <cellStyleXfs count="4">
    <xf numFmtId="0" fontId="0" fillId="0" borderId="0"/>
    <xf numFmtId="0" fontId="5" fillId="0" borderId="0"/>
    <xf numFmtId="9" fontId="5" fillId="0" borderId="0" applyFont="0" applyFill="0" applyBorder="0" applyAlignment="0" applyProtection="0"/>
    <xf numFmtId="0" fontId="5" fillId="0" borderId="0"/>
  </cellStyleXfs>
  <cellXfs count="498">
    <xf numFmtId="0" fontId="0" fillId="0" borderId="0" xfId="0"/>
    <xf numFmtId="0" fontId="1" fillId="0" borderId="0" xfId="0" applyFont="1"/>
    <xf numFmtId="0" fontId="1" fillId="0" borderId="0" xfId="0" applyFont="1" applyAlignment="1">
      <alignment horizontal="left"/>
    </xf>
    <xf numFmtId="0" fontId="3" fillId="0" borderId="0" xfId="0" applyFont="1" applyAlignment="1">
      <alignment horizontal="left"/>
    </xf>
    <xf numFmtId="0" fontId="6" fillId="0" borderId="0" xfId="1" applyFont="1"/>
    <xf numFmtId="0" fontId="6" fillId="0" borderId="0" xfId="1" applyFont="1" applyAlignment="1">
      <alignment horizontal="center"/>
    </xf>
    <xf numFmtId="0" fontId="6" fillId="0" borderId="11" xfId="1" applyFont="1" applyBorder="1"/>
    <xf numFmtId="0" fontId="10" fillId="0" borderId="0" xfId="1" applyFont="1"/>
    <xf numFmtId="0" fontId="10" fillId="0" borderId="20" xfId="1" applyFont="1" applyBorder="1"/>
    <xf numFmtId="0" fontId="10" fillId="0" borderId="24" xfId="1" applyFont="1" applyBorder="1"/>
    <xf numFmtId="0" fontId="10" fillId="0" borderId="27" xfId="1" applyFont="1" applyBorder="1"/>
    <xf numFmtId="0" fontId="10" fillId="0" borderId="33" xfId="1" applyFont="1" applyBorder="1" applyAlignment="1">
      <alignment horizontal="center" vertical="center"/>
    </xf>
    <xf numFmtId="0" fontId="6" fillId="0" borderId="33" xfId="1" applyFont="1" applyBorder="1" applyAlignment="1">
      <alignment horizontal="center" vertical="center"/>
    </xf>
    <xf numFmtId="0" fontId="10" fillId="0" borderId="7" xfId="1" applyFont="1" applyBorder="1" applyAlignment="1">
      <alignment vertical="center"/>
    </xf>
    <xf numFmtId="0" fontId="6" fillId="0" borderId="36" xfId="1" applyFont="1" applyBorder="1" applyAlignment="1">
      <alignment vertical="center"/>
    </xf>
    <xf numFmtId="0" fontId="6" fillId="0" borderId="38" xfId="1" applyFont="1" applyBorder="1" applyAlignment="1">
      <alignment vertical="center"/>
    </xf>
    <xf numFmtId="0" fontId="6" fillId="0" borderId="39" xfId="1" applyFont="1" applyBorder="1" applyAlignment="1">
      <alignment horizontal="center" vertical="center"/>
    </xf>
    <xf numFmtId="0" fontId="1" fillId="0" borderId="34" xfId="0" applyFont="1" applyBorder="1" applyAlignment="1">
      <alignment horizontal="center" vertical="center"/>
    </xf>
    <xf numFmtId="0" fontId="1" fillId="0" borderId="29" xfId="0" applyFont="1" applyBorder="1" applyAlignment="1">
      <alignment horizontal="center" vertical="center"/>
    </xf>
    <xf numFmtId="0" fontId="1" fillId="0" borderId="9" xfId="0" applyFont="1" applyBorder="1" applyAlignment="1">
      <alignment horizontal="center" vertical="center"/>
    </xf>
    <xf numFmtId="0" fontId="3" fillId="0" borderId="34" xfId="0" applyFont="1" applyBorder="1" applyAlignment="1">
      <alignment horizontal="center" vertical="center"/>
    </xf>
    <xf numFmtId="0" fontId="1" fillId="0" borderId="6" xfId="0" applyFont="1" applyBorder="1" applyAlignment="1">
      <alignment horizontal="center" vertical="center"/>
    </xf>
    <xf numFmtId="0" fontId="3" fillId="0" borderId="9" xfId="0" applyFont="1" applyBorder="1" applyAlignment="1">
      <alignment horizontal="center" vertical="center"/>
    </xf>
    <xf numFmtId="0" fontId="1" fillId="8" borderId="0" xfId="0" applyFont="1" applyFill="1"/>
    <xf numFmtId="0" fontId="4" fillId="9" borderId="0" xfId="0" applyFont="1" applyFill="1"/>
    <xf numFmtId="0" fontId="3" fillId="8" borderId="34" xfId="0" applyFont="1" applyFill="1" applyBorder="1" applyAlignment="1">
      <alignment horizontal="center" vertical="center" shrinkToFit="1"/>
    </xf>
    <xf numFmtId="0" fontId="3" fillId="9" borderId="34" xfId="0" applyFont="1" applyFill="1" applyBorder="1" applyAlignment="1">
      <alignment horizontal="center" vertical="center" shrinkToFit="1"/>
    </xf>
    <xf numFmtId="0" fontId="1" fillId="0" borderId="0" xfId="0" applyFont="1" applyAlignment="1">
      <alignment horizontal="center"/>
    </xf>
    <xf numFmtId="0" fontId="1" fillId="0" borderId="0" xfId="0" applyFont="1" applyAlignment="1">
      <alignment horizontal="center" shrinkToFit="1"/>
    </xf>
    <xf numFmtId="0" fontId="1" fillId="0" borderId="0" xfId="0" applyFont="1" applyAlignment="1">
      <alignment vertical="center"/>
    </xf>
    <xf numFmtId="0" fontId="1" fillId="0" borderId="34" xfId="0" applyFont="1" applyBorder="1" applyAlignment="1">
      <alignment horizontal="center" vertical="center" shrinkToFit="1"/>
    </xf>
    <xf numFmtId="0" fontId="1" fillId="0" borderId="29" xfId="0" applyFont="1" applyBorder="1" applyAlignment="1">
      <alignment horizontal="center" vertical="center" shrinkToFit="1"/>
    </xf>
    <xf numFmtId="0" fontId="3" fillId="0" borderId="53" xfId="0" applyFont="1" applyBorder="1" applyAlignment="1">
      <alignment horizontal="center" vertical="center" shrinkToFit="1"/>
    </xf>
    <xf numFmtId="0" fontId="3" fillId="0" borderId="0" xfId="0" applyFont="1" applyAlignment="1">
      <alignment horizontal="center"/>
    </xf>
    <xf numFmtId="0" fontId="41" fillId="0" borderId="0" xfId="0" applyFont="1"/>
    <xf numFmtId="0" fontId="5" fillId="0" borderId="0" xfId="1"/>
    <xf numFmtId="0" fontId="5" fillId="0" borderId="0" xfId="1" applyAlignment="1">
      <alignment horizontal="center" vertical="center"/>
    </xf>
    <xf numFmtId="0" fontId="5" fillId="0" borderId="54" xfId="1" applyBorder="1" applyAlignment="1">
      <alignment horizontal="center" vertical="center"/>
    </xf>
    <xf numFmtId="0" fontId="5" fillId="0" borderId="55" xfId="1" applyBorder="1" applyAlignment="1">
      <alignment horizontal="center" vertical="center"/>
    </xf>
    <xf numFmtId="0" fontId="5" fillId="0" borderId="43" xfId="1" applyBorder="1" applyAlignment="1">
      <alignment horizontal="center" vertical="center"/>
    </xf>
    <xf numFmtId="20" fontId="5" fillId="0" borderId="56" xfId="1" applyNumberFormat="1" applyBorder="1" applyAlignment="1">
      <alignment horizontal="center" vertical="center"/>
    </xf>
    <xf numFmtId="0" fontId="5" fillId="0" borderId="57" xfId="1" applyBorder="1" applyAlignment="1">
      <alignment horizontal="center" vertical="center"/>
    </xf>
    <xf numFmtId="0" fontId="5" fillId="0" borderId="58" xfId="1" applyBorder="1" applyAlignment="1">
      <alignment horizontal="center" vertical="center"/>
    </xf>
    <xf numFmtId="56" fontId="42" fillId="0" borderId="59" xfId="1" applyNumberFormat="1" applyFont="1" applyBorder="1" applyAlignment="1">
      <alignment horizontal="center" vertical="center"/>
    </xf>
    <xf numFmtId="0" fontId="5" fillId="0" borderId="60" xfId="1" applyBorder="1" applyAlignment="1">
      <alignment horizontal="center" vertical="center"/>
    </xf>
    <xf numFmtId="0" fontId="43" fillId="0" borderId="0" xfId="1" applyFont="1"/>
    <xf numFmtId="0" fontId="44" fillId="0" borderId="0" xfId="1" applyFont="1"/>
    <xf numFmtId="0" fontId="44" fillId="0" borderId="0" xfId="1" applyFont="1" applyAlignment="1">
      <alignment horizontal="center"/>
    </xf>
    <xf numFmtId="0" fontId="44" fillId="0" borderId="5" xfId="1" applyFont="1" applyBorder="1"/>
    <xf numFmtId="0" fontId="44" fillId="0" borderId="5" xfId="1" applyFont="1" applyBorder="1" applyAlignment="1">
      <alignment horizontal="center"/>
    </xf>
    <xf numFmtId="0" fontId="12" fillId="0" borderId="0" xfId="1" applyFont="1"/>
    <xf numFmtId="0" fontId="6" fillId="0" borderId="61" xfId="1" applyFont="1" applyBorder="1"/>
    <xf numFmtId="0" fontId="6" fillId="0" borderId="20" xfId="1" applyFont="1" applyBorder="1"/>
    <xf numFmtId="0" fontId="6" fillId="0" borderId="20" xfId="1" applyFont="1" applyBorder="1" applyAlignment="1">
      <alignment horizontal="left" vertical="center"/>
    </xf>
    <xf numFmtId="0" fontId="6" fillId="0" borderId="24" xfId="1" applyFont="1" applyBorder="1"/>
    <xf numFmtId="0" fontId="6" fillId="0" borderId="0" xfId="1" applyFont="1" applyAlignment="1">
      <alignment horizontal="center" vertical="center"/>
    </xf>
    <xf numFmtId="0" fontId="6" fillId="0" borderId="0" xfId="1" applyFont="1" applyAlignment="1">
      <alignment vertical="center"/>
    </xf>
    <xf numFmtId="0" fontId="6" fillId="0" borderId="27" xfId="1" applyFont="1" applyBorder="1"/>
    <xf numFmtId="0" fontId="6" fillId="0" borderId="68" xfId="1" applyFont="1" applyBorder="1"/>
    <xf numFmtId="0" fontId="6" fillId="0" borderId="71" xfId="1" applyFont="1" applyBorder="1"/>
    <xf numFmtId="0" fontId="6" fillId="0" borderId="73" xfId="1" applyFont="1" applyBorder="1"/>
    <xf numFmtId="0" fontId="6" fillId="0" borderId="61" xfId="1" applyFont="1" applyBorder="1" applyAlignment="1">
      <alignment horizontal="center"/>
    </xf>
    <xf numFmtId="0" fontId="6" fillId="0" borderId="62" xfId="1" applyFont="1" applyBorder="1"/>
    <xf numFmtId="0" fontId="6" fillId="0" borderId="70" xfId="1" applyFont="1" applyBorder="1"/>
    <xf numFmtId="0" fontId="6" fillId="0" borderId="66" xfId="1" applyFont="1" applyBorder="1"/>
    <xf numFmtId="0" fontId="6" fillId="0" borderId="66" xfId="1" applyFont="1" applyBorder="1" applyAlignment="1">
      <alignment horizontal="center"/>
    </xf>
    <xf numFmtId="0" fontId="6" fillId="0" borderId="72" xfId="1" applyFont="1" applyBorder="1"/>
    <xf numFmtId="0" fontId="10" fillId="0" borderId="11" xfId="0" applyFont="1" applyBorder="1" applyAlignment="1">
      <alignment horizontal="left" vertical="center"/>
    </xf>
    <xf numFmtId="0" fontId="6" fillId="0" borderId="76" xfId="0" applyFont="1" applyBorder="1" applyAlignment="1">
      <alignment horizontal="left" vertical="center"/>
    </xf>
    <xf numFmtId="0" fontId="6" fillId="0" borderId="78" xfId="0" applyFont="1" applyBorder="1" applyAlignment="1">
      <alignment horizontal="left" vertical="center"/>
    </xf>
    <xf numFmtId="0" fontId="6" fillId="0" borderId="80" xfId="0" applyFont="1" applyBorder="1" applyAlignment="1">
      <alignment horizontal="left" vertical="center"/>
    </xf>
    <xf numFmtId="0" fontId="6" fillId="0" borderId="16" xfId="0" applyFont="1" applyBorder="1" applyAlignment="1">
      <alignment horizontal="left" vertical="center"/>
    </xf>
    <xf numFmtId="0" fontId="6" fillId="0" borderId="85" xfId="1" applyFont="1" applyBorder="1"/>
    <xf numFmtId="0" fontId="10" fillId="0" borderId="85" xfId="1" applyFont="1" applyBorder="1"/>
    <xf numFmtId="0" fontId="12" fillId="0" borderId="89" xfId="1" applyFont="1" applyBorder="1" applyAlignment="1">
      <alignment horizontal="center"/>
    </xf>
    <xf numFmtId="0" fontId="6" fillId="0" borderId="38" xfId="1" applyFont="1" applyBorder="1" applyAlignment="1">
      <alignment horizontal="center" vertical="center"/>
    </xf>
    <xf numFmtId="0" fontId="6" fillId="0" borderId="81" xfId="1" applyFont="1" applyBorder="1" applyAlignment="1">
      <alignment horizontal="left" vertical="center"/>
    </xf>
    <xf numFmtId="0" fontId="6" fillId="0" borderId="92" xfId="1" applyFont="1" applyBorder="1"/>
    <xf numFmtId="0" fontId="6" fillId="0" borderId="96" xfId="1" applyFont="1" applyBorder="1"/>
    <xf numFmtId="0" fontId="6" fillId="0" borderId="97" xfId="1" applyFont="1" applyBorder="1"/>
    <xf numFmtId="0" fontId="6" fillId="0" borderId="37" xfId="1" applyFont="1" applyBorder="1"/>
    <xf numFmtId="0" fontId="10" fillId="0" borderId="96" xfId="1" applyFont="1" applyBorder="1"/>
    <xf numFmtId="0" fontId="12" fillId="0" borderId="104" xfId="1" applyFont="1" applyBorder="1" applyAlignment="1">
      <alignment horizontal="center"/>
    </xf>
    <xf numFmtId="0" fontId="6" fillId="0" borderId="85" xfId="1" applyFont="1" applyBorder="1" applyAlignment="1">
      <alignment horizontal="left" vertical="center"/>
    </xf>
    <xf numFmtId="0" fontId="6" fillId="0" borderId="86" xfId="1" applyFont="1" applyBorder="1" applyAlignment="1">
      <alignment horizontal="left" vertical="center"/>
    </xf>
    <xf numFmtId="0" fontId="6" fillId="0" borderId="81" xfId="1" applyFont="1" applyBorder="1"/>
    <xf numFmtId="0" fontId="6" fillId="0" borderId="105" xfId="1" applyFont="1" applyBorder="1"/>
    <xf numFmtId="0" fontId="10" fillId="0" borderId="34" xfId="1" applyFont="1" applyBorder="1" applyAlignment="1">
      <alignment horizontal="center" vertical="center" shrinkToFit="1"/>
    </xf>
    <xf numFmtId="0" fontId="10" fillId="0" borderId="34" xfId="1" applyFont="1" applyBorder="1" applyAlignment="1">
      <alignment horizontal="center" vertical="center"/>
    </xf>
    <xf numFmtId="0" fontId="10" fillId="0" borderId="18" xfId="1" applyFont="1" applyBorder="1" applyAlignment="1">
      <alignment horizontal="center" vertical="center"/>
    </xf>
    <xf numFmtId="0" fontId="6" fillId="0" borderId="34" xfId="1" applyFont="1" applyBorder="1" applyAlignment="1">
      <alignment horizontal="center" vertical="center"/>
    </xf>
    <xf numFmtId="0" fontId="51" fillId="0" borderId="0" xfId="1" applyFont="1" applyAlignment="1">
      <alignment vertical="center"/>
    </xf>
    <xf numFmtId="0" fontId="52" fillId="0" borderId="0" xfId="1" applyFont="1" applyAlignment="1">
      <alignment vertical="center"/>
    </xf>
    <xf numFmtId="0" fontId="9" fillId="0" borderId="0" xfId="1" applyFont="1" applyAlignment="1">
      <alignment vertical="center"/>
    </xf>
    <xf numFmtId="0" fontId="9" fillId="0" borderId="0" xfId="1" applyFont="1" applyAlignment="1">
      <alignment horizontal="right" vertical="center"/>
    </xf>
    <xf numFmtId="0" fontId="6" fillId="0" borderId="0" xfId="1" applyFont="1" applyAlignment="1">
      <alignment horizontal="right" vertical="center"/>
    </xf>
    <xf numFmtId="0" fontId="13" fillId="0" borderId="0" xfId="1" applyFont="1" applyAlignment="1">
      <alignment vertical="center"/>
    </xf>
    <xf numFmtId="0" fontId="54" fillId="0" borderId="0" xfId="1" applyFont="1" applyAlignment="1">
      <alignment vertical="center"/>
    </xf>
    <xf numFmtId="0" fontId="27" fillId="0" borderId="0" xfId="1" applyFont="1" applyAlignment="1">
      <alignment vertical="center"/>
    </xf>
    <xf numFmtId="0" fontId="10" fillId="0" borderId="19" xfId="1" applyFont="1" applyBorder="1" applyAlignment="1">
      <alignment vertical="center"/>
    </xf>
    <xf numFmtId="0" fontId="10" fillId="0" borderId="20" xfId="1" applyFont="1" applyBorder="1" applyAlignment="1">
      <alignment vertical="center"/>
    </xf>
    <xf numFmtId="0" fontId="10" fillId="0" borderId="21" xfId="1" applyFont="1" applyBorder="1" applyAlignment="1">
      <alignment vertical="center"/>
    </xf>
    <xf numFmtId="0" fontId="10" fillId="0" borderId="0" xfId="1" applyFont="1" applyAlignment="1">
      <alignment vertical="center"/>
    </xf>
    <xf numFmtId="0" fontId="22" fillId="0" borderId="1" xfId="1" applyFont="1" applyBorder="1" applyAlignment="1">
      <alignment vertical="center"/>
    </xf>
    <xf numFmtId="0" fontId="22" fillId="0" borderId="2" xfId="1" applyFont="1" applyBorder="1" applyAlignment="1">
      <alignment vertical="center"/>
    </xf>
    <xf numFmtId="0" fontId="22" fillId="0" borderId="8" xfId="1" applyFont="1" applyBorder="1" applyAlignment="1">
      <alignment vertical="center"/>
    </xf>
    <xf numFmtId="0" fontId="17" fillId="0" borderId="8" xfId="1" applyFont="1" applyBorder="1" applyAlignment="1">
      <alignment vertical="center"/>
    </xf>
    <xf numFmtId="0" fontId="17" fillId="0" borderId="2" xfId="1" applyFont="1" applyBorder="1" applyAlignment="1">
      <alignment vertical="center"/>
    </xf>
    <xf numFmtId="0" fontId="10" fillId="0" borderId="26" xfId="1" applyFont="1" applyBorder="1" applyAlignment="1">
      <alignment vertical="center"/>
    </xf>
    <xf numFmtId="0" fontId="10" fillId="0" borderId="27" xfId="1" applyFont="1" applyBorder="1" applyAlignment="1">
      <alignment vertical="center"/>
    </xf>
    <xf numFmtId="0" fontId="10" fillId="0" borderId="28" xfId="1" applyFont="1" applyBorder="1" applyAlignment="1">
      <alignment vertical="center"/>
    </xf>
    <xf numFmtId="0" fontId="20" fillId="0" borderId="1" xfId="1" applyFont="1" applyBorder="1" applyAlignment="1">
      <alignment vertical="center"/>
    </xf>
    <xf numFmtId="0" fontId="22" fillId="0" borderId="0" xfId="1" applyFont="1" applyAlignment="1">
      <alignment vertical="center"/>
    </xf>
    <xf numFmtId="0" fontId="17" fillId="0" borderId="0" xfId="1" applyFont="1" applyAlignment="1">
      <alignment vertical="center"/>
    </xf>
    <xf numFmtId="0" fontId="22" fillId="0" borderId="7" xfId="1" applyFont="1" applyBorder="1" applyAlignment="1">
      <alignment vertical="center"/>
    </xf>
    <xf numFmtId="0" fontId="17" fillId="0" borderId="9" xfId="1" applyFont="1" applyBorder="1" applyAlignment="1">
      <alignment vertical="center"/>
    </xf>
    <xf numFmtId="0" fontId="17" fillId="0" borderId="30" xfId="1" applyFont="1" applyBorder="1" applyAlignment="1">
      <alignment vertical="center"/>
    </xf>
    <xf numFmtId="0" fontId="18" fillId="0" borderId="31" xfId="1" applyFont="1" applyBorder="1" applyAlignment="1">
      <alignment vertical="center"/>
    </xf>
    <xf numFmtId="0" fontId="10" fillId="0" borderId="31" xfId="1" applyFont="1" applyBorder="1" applyAlignment="1">
      <alignment vertical="center"/>
    </xf>
    <xf numFmtId="0" fontId="10" fillId="0" borderId="32" xfId="1" applyFont="1" applyBorder="1" applyAlignment="1">
      <alignment vertical="center"/>
    </xf>
    <xf numFmtId="0" fontId="10" fillId="0" borderId="49" xfId="1" applyFont="1" applyBorder="1" applyAlignment="1">
      <alignment vertical="center"/>
    </xf>
    <xf numFmtId="0" fontId="10" fillId="0" borderId="35" xfId="1" applyFont="1" applyBorder="1" applyAlignment="1">
      <alignment vertical="center"/>
    </xf>
    <xf numFmtId="0" fontId="10" fillId="0" borderId="50" xfId="1" applyFont="1" applyBorder="1" applyAlignment="1">
      <alignment vertical="center"/>
    </xf>
    <xf numFmtId="0" fontId="10" fillId="0" borderId="23" xfId="1" applyFont="1" applyBorder="1" applyAlignment="1">
      <alignment vertical="center"/>
    </xf>
    <xf numFmtId="0" fontId="10" fillId="0" borderId="24" xfId="1" applyFont="1" applyBorder="1" applyAlignment="1">
      <alignment vertical="center"/>
    </xf>
    <xf numFmtId="0" fontId="10" fillId="0" borderId="25" xfId="1" applyFont="1" applyBorder="1" applyAlignment="1">
      <alignment vertical="center"/>
    </xf>
    <xf numFmtId="0" fontId="10" fillId="0" borderId="4" xfId="1" applyFont="1" applyBorder="1" applyAlignment="1">
      <alignment vertical="center"/>
    </xf>
    <xf numFmtId="0" fontId="10" fillId="0" borderId="5" xfId="1" applyFont="1" applyBorder="1" applyAlignment="1">
      <alignment vertical="center"/>
    </xf>
    <xf numFmtId="0" fontId="10" fillId="0" borderId="6" xfId="1" applyFont="1" applyBorder="1" applyAlignment="1">
      <alignment vertical="center"/>
    </xf>
    <xf numFmtId="0" fontId="22" fillId="0" borderId="3" xfId="1" applyFont="1" applyBorder="1" applyAlignment="1">
      <alignment vertical="center"/>
    </xf>
    <xf numFmtId="0" fontId="17" fillId="0" borderId="5" xfId="1" applyFont="1" applyBorder="1" applyAlignment="1">
      <alignment vertical="center"/>
    </xf>
    <xf numFmtId="0" fontId="17" fillId="0" borderId="35" xfId="1" applyFont="1" applyBorder="1" applyAlignment="1">
      <alignment vertical="center"/>
    </xf>
    <xf numFmtId="0" fontId="17" fillId="0" borderId="24" xfId="1" applyFont="1" applyBorder="1" applyAlignment="1">
      <alignment vertical="center"/>
    </xf>
    <xf numFmtId="0" fontId="17" fillId="0" borderId="23" xfId="1" applyFont="1" applyBorder="1" applyAlignment="1">
      <alignment vertical="center"/>
    </xf>
    <xf numFmtId="0" fontId="20" fillId="0" borderId="7" xfId="1" applyFont="1" applyBorder="1" applyAlignment="1">
      <alignment vertical="center"/>
    </xf>
    <xf numFmtId="0" fontId="20" fillId="0" borderId="2" xfId="1" applyFont="1" applyBorder="1" applyAlignment="1">
      <alignment vertical="center"/>
    </xf>
    <xf numFmtId="0" fontId="15" fillId="0" borderId="26" xfId="1" applyFont="1" applyBorder="1" applyAlignment="1">
      <alignment vertical="center"/>
    </xf>
    <xf numFmtId="0" fontId="11" fillId="0" borderId="23" xfId="1" applyFont="1" applyBorder="1" applyAlignment="1">
      <alignment vertical="center"/>
    </xf>
    <xf numFmtId="0" fontId="11" fillId="0" borderId="24" xfId="1" applyFont="1" applyBorder="1" applyAlignment="1">
      <alignment vertical="center"/>
    </xf>
    <xf numFmtId="0" fontId="11" fillId="0" borderId="30" xfId="1" applyFont="1" applyBorder="1" applyAlignment="1">
      <alignment vertical="center"/>
    </xf>
    <xf numFmtId="0" fontId="14" fillId="0" borderId="31" xfId="1" applyFont="1" applyBorder="1" applyAlignment="1">
      <alignment vertical="center"/>
    </xf>
    <xf numFmtId="0" fontId="10" fillId="0" borderId="0" xfId="1" applyFont="1" applyAlignment="1">
      <alignment horizontal="right" vertical="center"/>
    </xf>
    <xf numFmtId="0" fontId="6" fillId="0" borderId="0" xfId="0" applyFont="1" applyAlignment="1">
      <alignment vertical="center"/>
    </xf>
    <xf numFmtId="0" fontId="47" fillId="2" borderId="0" xfId="0" applyFont="1" applyFill="1" applyAlignment="1">
      <alignment vertical="center"/>
    </xf>
    <xf numFmtId="0" fontId="23" fillId="2" borderId="0" xfId="0" applyFont="1" applyFill="1" applyAlignment="1">
      <alignment vertical="center"/>
    </xf>
    <xf numFmtId="0" fontId="6" fillId="4" borderId="0" xfId="0" applyFont="1" applyFill="1" applyAlignment="1">
      <alignment vertical="center"/>
    </xf>
    <xf numFmtId="0" fontId="6" fillId="2" borderId="0" xfId="0" applyFont="1" applyFill="1" applyAlignment="1">
      <alignment vertical="center"/>
    </xf>
    <xf numFmtId="0" fontId="10" fillId="2" borderId="0" xfId="0" applyFont="1" applyFill="1" applyAlignment="1">
      <alignment horizontal="right" vertical="center"/>
    </xf>
    <xf numFmtId="0" fontId="23" fillId="0" borderId="11" xfId="0" applyFont="1" applyBorder="1" applyAlignment="1">
      <alignment vertical="center"/>
    </xf>
    <xf numFmtId="0" fontId="6" fillId="0" borderId="11" xfId="0" applyFont="1" applyBorder="1" applyAlignment="1">
      <alignment vertical="center"/>
    </xf>
    <xf numFmtId="0" fontId="6" fillId="0" borderId="74" xfId="0" applyFont="1" applyBorder="1" applyAlignment="1">
      <alignment vertical="center"/>
    </xf>
    <xf numFmtId="0" fontId="6" fillId="0" borderId="12" xfId="0" applyFont="1" applyBorder="1" applyAlignment="1">
      <alignment vertical="center"/>
    </xf>
    <xf numFmtId="0" fontId="23" fillId="0" borderId="13" xfId="0" applyFont="1" applyBorder="1" applyAlignment="1">
      <alignment vertical="center"/>
    </xf>
    <xf numFmtId="0" fontId="6" fillId="0" borderId="75" xfId="0" applyFont="1" applyBorder="1" applyAlignment="1">
      <alignment vertical="center"/>
    </xf>
    <xf numFmtId="0" fontId="6" fillId="0" borderId="35" xfId="0" applyFont="1" applyBorder="1" applyAlignment="1">
      <alignment vertical="center"/>
    </xf>
    <xf numFmtId="0" fontId="6" fillId="0" borderId="35" xfId="0" applyFont="1" applyBorder="1" applyAlignment="1">
      <alignment horizontal="center" vertical="center"/>
    </xf>
    <xf numFmtId="0" fontId="6" fillId="0" borderId="35" xfId="0" applyFont="1" applyBorder="1" applyAlignment="1">
      <alignment horizontal="left" vertical="center"/>
    </xf>
    <xf numFmtId="0" fontId="6" fillId="0" borderId="77" xfId="0" applyFont="1" applyBorder="1" applyAlignment="1">
      <alignment vertical="center"/>
    </xf>
    <xf numFmtId="0" fontId="10" fillId="0" borderId="5" xfId="0" applyFont="1" applyBorder="1" applyAlignment="1">
      <alignment vertical="center"/>
    </xf>
    <xf numFmtId="0" fontId="6" fillId="0" borderId="5" xfId="0" applyFont="1" applyBorder="1" applyAlignment="1">
      <alignment horizontal="center" vertical="center"/>
    </xf>
    <xf numFmtId="0" fontId="6" fillId="0" borderId="79" xfId="0" applyFont="1" applyBorder="1" applyAlignment="1">
      <alignment vertical="center"/>
    </xf>
    <xf numFmtId="0" fontId="6" fillId="0" borderId="20" xfId="0" applyFont="1" applyBorder="1" applyAlignment="1">
      <alignment vertical="center"/>
    </xf>
    <xf numFmtId="0" fontId="6" fillId="0" borderId="20" xfId="0" applyFont="1" applyBorder="1" applyAlignment="1">
      <alignment horizontal="center" vertical="center"/>
    </xf>
    <xf numFmtId="0" fontId="6" fillId="0" borderId="81" xfId="0" applyFont="1" applyBorder="1" applyAlignment="1">
      <alignment vertical="center"/>
    </xf>
    <xf numFmtId="0" fontId="23" fillId="0" borderId="15" xfId="0" applyFont="1" applyBorder="1" applyAlignment="1">
      <alignment vertical="center"/>
    </xf>
    <xf numFmtId="0" fontId="23" fillId="0" borderId="16" xfId="0" applyFont="1" applyBorder="1" applyAlignment="1">
      <alignment vertical="center"/>
    </xf>
    <xf numFmtId="0" fontId="6" fillId="0" borderId="16" xfId="0" applyFont="1" applyBorder="1" applyAlignment="1">
      <alignment horizontal="center" vertical="center"/>
    </xf>
    <xf numFmtId="0" fontId="6" fillId="0" borderId="16" xfId="0" applyFont="1" applyBorder="1" applyAlignment="1">
      <alignment vertical="center"/>
    </xf>
    <xf numFmtId="0" fontId="6" fillId="0" borderId="82" xfId="0" applyFont="1" applyBorder="1" applyAlignment="1">
      <alignment vertical="center"/>
    </xf>
    <xf numFmtId="0" fontId="10" fillId="0" borderId="16" xfId="0" applyFont="1" applyBorder="1" applyAlignment="1">
      <alignment vertical="center"/>
    </xf>
    <xf numFmtId="0" fontId="6" fillId="0" borderId="17" xfId="0" applyFont="1" applyBorder="1" applyAlignment="1">
      <alignment vertical="center"/>
    </xf>
    <xf numFmtId="0" fontId="10" fillId="0" borderId="0" xfId="1" applyFont="1" applyAlignment="1">
      <alignment horizontal="center" vertical="center"/>
    </xf>
    <xf numFmtId="0" fontId="17" fillId="0" borderId="7" xfId="1" applyFont="1" applyBorder="1" applyAlignment="1">
      <alignment vertical="center"/>
    </xf>
    <xf numFmtId="0" fontId="10" fillId="0" borderId="8" xfId="1" applyFont="1" applyBorder="1" applyAlignment="1">
      <alignment vertical="center"/>
    </xf>
    <xf numFmtId="0" fontId="10" fillId="0" borderId="9" xfId="1" applyFont="1" applyBorder="1" applyAlignment="1">
      <alignment vertical="center"/>
    </xf>
    <xf numFmtId="0" fontId="17" fillId="0" borderId="19" xfId="1" applyFont="1" applyBorder="1" applyAlignment="1">
      <alignment vertical="center"/>
    </xf>
    <xf numFmtId="0" fontId="10" fillId="0" borderId="30" xfId="1" applyFont="1" applyBorder="1" applyAlignment="1">
      <alignment vertical="center"/>
    </xf>
    <xf numFmtId="0" fontId="20" fillId="0" borderId="8" xfId="1" applyFont="1" applyBorder="1" applyAlignment="1">
      <alignment vertical="center"/>
    </xf>
    <xf numFmtId="0" fontId="15" fillId="0" borderId="19" xfId="1" applyFont="1" applyBorder="1" applyAlignment="1">
      <alignment vertical="center"/>
    </xf>
    <xf numFmtId="0" fontId="20" fillId="0" borderId="23" xfId="1" applyFont="1" applyBorder="1" applyAlignment="1">
      <alignment vertical="center"/>
    </xf>
    <xf numFmtId="0" fontId="15" fillId="0" borderId="23" xfId="1" applyFont="1" applyBorder="1" applyAlignment="1">
      <alignment vertical="center"/>
    </xf>
    <xf numFmtId="0" fontId="22" fillId="0" borderId="9" xfId="1" applyFont="1" applyBorder="1" applyAlignment="1">
      <alignment vertical="center"/>
    </xf>
    <xf numFmtId="0" fontId="20" fillId="0" borderId="26" xfId="1" applyFont="1" applyBorder="1" applyAlignment="1">
      <alignment vertical="center"/>
    </xf>
    <xf numFmtId="0" fontId="15" fillId="0" borderId="30" xfId="1" applyFont="1" applyBorder="1" applyAlignment="1">
      <alignment vertical="center"/>
    </xf>
    <xf numFmtId="0" fontId="16" fillId="0" borderId="0" xfId="1" applyFont="1" applyAlignment="1">
      <alignment horizontal="right" vertical="center"/>
    </xf>
    <xf numFmtId="0" fontId="6" fillId="0" borderId="0" xfId="1" applyFont="1" applyAlignment="1">
      <alignment horizontal="center" vertical="center" shrinkToFit="1"/>
    </xf>
    <xf numFmtId="0" fontId="19" fillId="0" borderId="0" xfId="1" applyFont="1" applyAlignment="1">
      <alignment vertical="center"/>
    </xf>
    <xf numFmtId="0" fontId="15" fillId="0" borderId="1" xfId="1" applyFont="1" applyBorder="1" applyAlignment="1">
      <alignment vertical="center"/>
    </xf>
    <xf numFmtId="0" fontId="10" fillId="0" borderId="2" xfId="1" applyFont="1" applyBorder="1" applyAlignment="1">
      <alignment horizontal="center" vertical="center"/>
    </xf>
    <xf numFmtId="0" fontId="10" fillId="0" borderId="3" xfId="1" applyFont="1" applyBorder="1" applyAlignment="1">
      <alignment vertical="center"/>
    </xf>
    <xf numFmtId="0" fontId="19" fillId="4" borderId="0" xfId="1" applyFont="1" applyFill="1" applyAlignment="1">
      <alignment vertical="center"/>
    </xf>
    <xf numFmtId="0" fontId="10" fillId="4" borderId="0" xfId="1" applyFont="1" applyFill="1" applyAlignment="1">
      <alignment vertical="center"/>
    </xf>
    <xf numFmtId="0" fontId="50" fillId="4" borderId="0" xfId="1" applyFont="1" applyFill="1" applyAlignment="1">
      <alignment vertical="center"/>
    </xf>
    <xf numFmtId="0" fontId="10" fillId="4" borderId="0" xfId="1" applyFont="1" applyFill="1" applyAlignment="1">
      <alignment horizontal="right" vertical="center"/>
    </xf>
    <xf numFmtId="0" fontId="10" fillId="4" borderId="0" xfId="1" applyFont="1" applyFill="1" applyAlignment="1">
      <alignment horizontal="center" vertical="center"/>
    </xf>
    <xf numFmtId="0" fontId="18" fillId="4" borderId="0" xfId="1" applyFont="1" applyFill="1" applyAlignment="1">
      <alignment vertical="center"/>
    </xf>
    <xf numFmtId="0" fontId="18" fillId="4" borderId="0" xfId="1" applyFont="1" applyFill="1" applyAlignment="1">
      <alignment horizontal="right" vertical="center"/>
    </xf>
    <xf numFmtId="0" fontId="6" fillId="0" borderId="11" xfId="1" applyFont="1" applyBorder="1" applyAlignment="1">
      <alignment vertical="center"/>
    </xf>
    <xf numFmtId="0" fontId="6" fillId="0" borderId="12" xfId="1" applyFont="1" applyBorder="1" applyAlignment="1">
      <alignment vertical="center"/>
    </xf>
    <xf numFmtId="0" fontId="6" fillId="0" borderId="15" xfId="1" applyFont="1" applyBorder="1" applyAlignment="1">
      <alignment vertical="center"/>
    </xf>
    <xf numFmtId="0" fontId="6" fillId="0" borderId="16" xfId="1" applyFont="1" applyBorder="1" applyAlignment="1">
      <alignment vertical="center"/>
    </xf>
    <xf numFmtId="0" fontId="6" fillId="0" borderId="17" xfId="1" applyFont="1" applyBorder="1" applyAlignment="1">
      <alignment vertical="center"/>
    </xf>
    <xf numFmtId="0" fontId="8" fillId="0" borderId="0" xfId="1" applyFont="1" applyAlignment="1">
      <alignment vertical="center"/>
    </xf>
    <xf numFmtId="0" fontId="8" fillId="0" borderId="0" xfId="1" applyFont="1" applyAlignment="1">
      <alignment horizontal="center" vertical="center"/>
    </xf>
    <xf numFmtId="0" fontId="24" fillId="0" borderId="0" xfId="1" applyFont="1" applyAlignment="1">
      <alignment vertical="center"/>
    </xf>
    <xf numFmtId="0" fontId="24" fillId="0" borderId="0" xfId="1" applyFont="1" applyAlignment="1">
      <alignment horizontal="center" vertical="center"/>
    </xf>
    <xf numFmtId="0" fontId="6" fillId="0" borderId="99" xfId="1" applyFont="1" applyBorder="1" applyAlignment="1">
      <alignment horizontal="center" vertical="center"/>
    </xf>
    <xf numFmtId="0" fontId="25" fillId="0" borderId="9" xfId="1" applyFont="1" applyBorder="1" applyAlignment="1">
      <alignment vertical="center"/>
    </xf>
    <xf numFmtId="0" fontId="6" fillId="0" borderId="34" xfId="1" applyFont="1" applyBorder="1" applyAlignment="1">
      <alignment vertical="center"/>
    </xf>
    <xf numFmtId="0" fontId="6" fillId="0" borderId="7" xfId="1" applyFont="1" applyBorder="1" applyAlignment="1">
      <alignment vertical="center"/>
    </xf>
    <xf numFmtId="1" fontId="26" fillId="2" borderId="33" xfId="1" applyNumberFormat="1" applyFont="1" applyFill="1" applyBorder="1" applyAlignment="1">
      <alignment vertical="center"/>
    </xf>
    <xf numFmtId="0" fontId="6" fillId="0" borderId="42" xfId="1" applyFont="1" applyBorder="1" applyAlignment="1">
      <alignment horizontal="center" vertical="center"/>
    </xf>
    <xf numFmtId="0" fontId="12" fillId="0" borderId="9" xfId="1" applyFont="1" applyBorder="1" applyAlignment="1">
      <alignment vertical="center"/>
    </xf>
    <xf numFmtId="0" fontId="6" fillId="0" borderId="9" xfId="1" applyFont="1" applyBorder="1" applyAlignment="1">
      <alignment vertical="center"/>
    </xf>
    <xf numFmtId="9" fontId="6" fillId="6" borderId="34" xfId="2" applyFont="1" applyFill="1" applyBorder="1" applyAlignment="1">
      <alignment vertical="center"/>
    </xf>
    <xf numFmtId="1" fontId="6" fillId="5" borderId="34" xfId="2" applyNumberFormat="1" applyFont="1" applyFill="1" applyBorder="1" applyAlignment="1">
      <alignment vertical="center"/>
    </xf>
    <xf numFmtId="0" fontId="28" fillId="3" borderId="9" xfId="1" applyFont="1" applyFill="1" applyBorder="1" applyAlignment="1">
      <alignment vertical="center" shrinkToFit="1"/>
    </xf>
    <xf numFmtId="0" fontId="28" fillId="3" borderId="34" xfId="1" applyFont="1" applyFill="1" applyBorder="1" applyAlignment="1">
      <alignment vertical="center"/>
    </xf>
    <xf numFmtId="9" fontId="28" fillId="3" borderId="34" xfId="2" applyFont="1" applyFill="1" applyBorder="1" applyAlignment="1">
      <alignment vertical="center"/>
    </xf>
    <xf numFmtId="0" fontId="6" fillId="0" borderId="46" xfId="1" applyFont="1" applyBorder="1" applyAlignment="1">
      <alignment vertical="center"/>
    </xf>
    <xf numFmtId="0" fontId="6" fillId="0" borderId="47" xfId="1" applyFont="1" applyBorder="1" applyAlignment="1">
      <alignment vertical="center"/>
    </xf>
    <xf numFmtId="0" fontId="6" fillId="0" borderId="48" xfId="1" applyFont="1" applyBorder="1" applyAlignment="1">
      <alignment horizontal="center" vertical="center"/>
    </xf>
    <xf numFmtId="0" fontId="30" fillId="0" borderId="0" xfId="1" applyFont="1" applyAlignment="1">
      <alignment vertical="center"/>
    </xf>
    <xf numFmtId="0" fontId="29" fillId="0" borderId="0" xfId="1" applyFont="1" applyAlignment="1">
      <alignment horizontal="right" vertical="center"/>
    </xf>
    <xf numFmtId="0" fontId="31" fillId="0" borderId="0" xfId="1" applyFont="1" applyAlignment="1">
      <alignment vertical="center"/>
    </xf>
    <xf numFmtId="0" fontId="30" fillId="0" borderId="0" xfId="1" applyFont="1" applyAlignment="1">
      <alignment horizontal="center" vertical="center"/>
    </xf>
    <xf numFmtId="0" fontId="32" fillId="0" borderId="0" xfId="1" applyFont="1" applyAlignment="1">
      <alignment horizontal="right" vertical="center"/>
    </xf>
    <xf numFmtId="0" fontId="33" fillId="0" borderId="0" xfId="1" applyFont="1" applyAlignment="1">
      <alignment vertical="center"/>
    </xf>
    <xf numFmtId="0" fontId="6" fillId="0" borderId="11" xfId="0" applyFont="1" applyBorder="1" applyAlignment="1">
      <alignment horizontal="center" vertical="center"/>
    </xf>
    <xf numFmtId="0" fontId="12" fillId="0" borderId="0" xfId="3" applyFont="1"/>
    <xf numFmtId="0" fontId="25" fillId="0" borderId="0" xfId="3" applyFont="1"/>
    <xf numFmtId="0" fontId="25" fillId="0" borderId="0" xfId="3" applyFont="1" applyAlignment="1">
      <alignment horizontal="center"/>
    </xf>
    <xf numFmtId="0" fontId="25" fillId="0" borderId="34" xfId="3" applyFont="1" applyBorder="1" applyAlignment="1">
      <alignment horizontal="center" vertical="center"/>
    </xf>
    <xf numFmtId="0" fontId="56" fillId="0" borderId="0" xfId="3" applyFont="1"/>
    <xf numFmtId="176" fontId="56" fillId="0" borderId="0" xfId="3" applyNumberFormat="1" applyFont="1"/>
    <xf numFmtId="0" fontId="25" fillId="0" borderId="34" xfId="3" applyFont="1" applyBorder="1" applyAlignment="1">
      <alignment horizontal="center" vertical="center" shrinkToFit="1"/>
    </xf>
    <xf numFmtId="0" fontId="25" fillId="0" borderId="29" xfId="3" applyFont="1" applyBorder="1" applyAlignment="1">
      <alignment horizontal="center" vertical="center"/>
    </xf>
    <xf numFmtId="0" fontId="25" fillId="0" borderId="0" xfId="3" applyFont="1" applyAlignment="1">
      <alignment horizontal="center" vertical="center"/>
    </xf>
    <xf numFmtId="176" fontId="25" fillId="0" borderId="0" xfId="3" applyNumberFormat="1" applyFont="1"/>
    <xf numFmtId="0" fontId="25" fillId="0" borderId="34" xfId="3" applyFont="1" applyBorder="1"/>
    <xf numFmtId="0" fontId="25" fillId="0" borderId="18" xfId="3" applyFont="1" applyBorder="1" applyAlignment="1">
      <alignment horizontal="center" vertical="center"/>
    </xf>
    <xf numFmtId="0" fontId="23" fillId="0" borderId="0" xfId="0" applyFont="1" applyAlignment="1">
      <alignment vertical="center"/>
    </xf>
    <xf numFmtId="0" fontId="6" fillId="0" borderId="0" xfId="0" applyFont="1" applyAlignment="1">
      <alignment horizontal="center" vertical="center"/>
    </xf>
    <xf numFmtId="0" fontId="36" fillId="0" borderId="2" xfId="1" applyFont="1" applyBorder="1" applyAlignment="1">
      <alignment vertical="center" shrinkToFit="1"/>
    </xf>
    <xf numFmtId="0" fontId="45" fillId="0" borderId="35" xfId="1" applyFont="1" applyBorder="1" applyAlignment="1">
      <alignment vertical="center"/>
    </xf>
    <xf numFmtId="0" fontId="18" fillId="0" borderId="1" xfId="1" applyFont="1" applyBorder="1" applyAlignment="1">
      <alignment vertical="center"/>
    </xf>
    <xf numFmtId="0" fontId="6" fillId="0" borderId="2" xfId="1" applyFont="1" applyBorder="1" applyAlignment="1">
      <alignment vertical="center"/>
    </xf>
    <xf numFmtId="0" fontId="6" fillId="0" borderId="3" xfId="1" applyFont="1" applyBorder="1" applyAlignment="1">
      <alignment vertical="center"/>
    </xf>
    <xf numFmtId="0" fontId="58" fillId="0" borderId="4" xfId="1" applyFont="1" applyBorder="1" applyAlignment="1">
      <alignment vertical="center"/>
    </xf>
    <xf numFmtId="0" fontId="6" fillId="0" borderId="5" xfId="1" applyFont="1" applyBorder="1" applyAlignment="1">
      <alignment vertical="center"/>
    </xf>
    <xf numFmtId="0" fontId="6" fillId="0" borderId="6" xfId="1" applyFont="1" applyBorder="1" applyAlignment="1">
      <alignment vertical="center"/>
    </xf>
    <xf numFmtId="0" fontId="37" fillId="0" borderId="0" xfId="1" applyFont="1" applyAlignment="1">
      <alignment vertical="center"/>
    </xf>
    <xf numFmtId="0" fontId="19" fillId="4" borderId="0" xfId="1" applyFont="1" applyFill="1" applyAlignment="1">
      <alignment horizontal="right" vertical="center"/>
    </xf>
    <xf numFmtId="0" fontId="59" fillId="10" borderId="18" xfId="1" applyFont="1" applyFill="1" applyBorder="1" applyAlignment="1">
      <alignment horizontal="center" vertical="center"/>
    </xf>
    <xf numFmtId="0" fontId="55" fillId="3" borderId="7" xfId="1" applyFont="1" applyFill="1" applyBorder="1" applyAlignment="1">
      <alignment vertical="center"/>
    </xf>
    <xf numFmtId="0" fontId="55" fillId="3" borderId="8" xfId="1" applyFont="1" applyFill="1" applyBorder="1" applyAlignment="1">
      <alignment vertical="center"/>
    </xf>
    <xf numFmtId="0" fontId="55" fillId="3" borderId="5" xfId="1" applyFont="1" applyFill="1" applyBorder="1" applyAlignment="1">
      <alignment vertical="center"/>
    </xf>
    <xf numFmtId="0" fontId="55" fillId="3" borderId="31" xfId="1" applyFont="1" applyFill="1" applyBorder="1" applyAlignment="1">
      <alignment vertical="center"/>
    </xf>
    <xf numFmtId="0" fontId="55" fillId="3" borderId="9" xfId="1" applyFont="1" applyFill="1" applyBorder="1" applyAlignment="1">
      <alignment vertical="center"/>
    </xf>
    <xf numFmtId="0" fontId="37" fillId="10" borderId="0" xfId="1" applyFont="1" applyFill="1" applyAlignment="1">
      <alignment vertical="center"/>
    </xf>
    <xf numFmtId="0" fontId="6" fillId="10" borderId="0" xfId="1" applyFont="1" applyFill="1" applyAlignment="1">
      <alignment vertical="center"/>
    </xf>
    <xf numFmtId="0" fontId="25" fillId="0" borderId="53" xfId="3" applyFont="1" applyBorder="1" applyAlignment="1">
      <alignment horizontal="center" vertical="center" shrinkToFit="1"/>
    </xf>
    <xf numFmtId="0" fontId="25" fillId="0" borderId="53" xfId="3" applyFont="1" applyBorder="1" applyAlignment="1">
      <alignment horizontal="center" vertical="center"/>
    </xf>
    <xf numFmtId="0" fontId="56" fillId="0" borderId="0" xfId="3" applyFont="1" applyAlignment="1">
      <alignment horizontal="center" vertical="center"/>
    </xf>
    <xf numFmtId="0" fontId="45" fillId="0" borderId="18" xfId="1" applyFont="1" applyBorder="1" applyAlignment="1">
      <alignment horizontal="center" vertical="center"/>
    </xf>
    <xf numFmtId="0" fontId="45" fillId="0" borderId="63" xfId="1" applyFont="1" applyBorder="1" applyAlignment="1">
      <alignment horizontal="center" vertical="center"/>
    </xf>
    <xf numFmtId="0" fontId="45" fillId="0" borderId="31" xfId="1" applyFont="1" applyBorder="1" applyAlignment="1">
      <alignment vertical="center"/>
    </xf>
    <xf numFmtId="0" fontId="45" fillId="0" borderId="31" xfId="1" applyFont="1" applyBorder="1"/>
    <xf numFmtId="0" fontId="45" fillId="0" borderId="102" xfId="1" applyFont="1" applyBorder="1" applyAlignment="1">
      <alignment vertical="center"/>
    </xf>
    <xf numFmtId="0" fontId="20" fillId="0" borderId="6" xfId="1" applyFont="1" applyBorder="1" applyAlignment="1">
      <alignment horizontal="center" vertical="center" wrapText="1"/>
    </xf>
    <xf numFmtId="0" fontId="45" fillId="0" borderId="22" xfId="1" applyFont="1" applyBorder="1" applyAlignment="1">
      <alignment horizontal="center" vertical="center"/>
    </xf>
    <xf numFmtId="0" fontId="15" fillId="0" borderId="35" xfId="1" applyFont="1" applyBorder="1" applyAlignment="1">
      <alignment vertical="center"/>
    </xf>
    <xf numFmtId="0" fontId="45" fillId="0" borderId="35" xfId="1" applyFont="1" applyBorder="1"/>
    <xf numFmtId="0" fontId="45" fillId="0" borderId="64" xfId="1" applyFont="1" applyBorder="1" applyAlignment="1">
      <alignment horizontal="center" vertical="center"/>
    </xf>
    <xf numFmtId="0" fontId="45" fillId="0" borderId="65" xfId="1" applyFont="1" applyBorder="1" applyAlignment="1">
      <alignment horizontal="center" vertical="center"/>
    </xf>
    <xf numFmtId="0" fontId="15" fillId="0" borderId="24" xfId="1" applyFont="1" applyBorder="1" applyAlignment="1">
      <alignment vertical="center"/>
    </xf>
    <xf numFmtId="0" fontId="45" fillId="0" borderId="24" xfId="1" applyFont="1" applyBorder="1" applyAlignment="1">
      <alignment vertical="center"/>
    </xf>
    <xf numFmtId="0" fontId="45" fillId="0" borderId="24" xfId="1" applyFont="1" applyBorder="1"/>
    <xf numFmtId="0" fontId="45" fillId="0" borderId="95" xfId="1" applyFont="1" applyBorder="1" applyAlignment="1">
      <alignment horizontal="center" vertical="center"/>
    </xf>
    <xf numFmtId="0" fontId="45" fillId="0" borderId="0" xfId="1" applyFont="1"/>
    <xf numFmtId="0" fontId="45" fillId="0" borderId="0" xfId="1" applyFont="1" applyAlignment="1">
      <alignment horizontal="center" vertical="center"/>
    </xf>
    <xf numFmtId="0" fontId="45" fillId="0" borderId="0" xfId="1" applyFont="1" applyAlignment="1">
      <alignment vertical="center"/>
    </xf>
    <xf numFmtId="0" fontId="45" fillId="0" borderId="0" xfId="1" applyFont="1" applyAlignment="1">
      <alignment horizontal="center"/>
    </xf>
    <xf numFmtId="0" fontId="15" fillId="0" borderId="0" xfId="1" applyFont="1"/>
    <xf numFmtId="0" fontId="45" fillId="0" borderId="84" xfId="1" applyFont="1" applyBorder="1" applyAlignment="1">
      <alignment horizontal="center" vertical="center"/>
    </xf>
    <xf numFmtId="0" fontId="45" fillId="0" borderId="88" xfId="1" applyFont="1" applyBorder="1" applyAlignment="1">
      <alignment horizontal="center" vertical="center"/>
    </xf>
    <xf numFmtId="0" fontId="45" fillId="0" borderId="38" xfId="1" applyFont="1" applyBorder="1" applyAlignment="1">
      <alignment horizontal="center" vertical="center"/>
    </xf>
    <xf numFmtId="0" fontId="45" fillId="0" borderId="18" xfId="1" applyFont="1" applyBorder="1" applyAlignment="1">
      <alignment horizontal="center" vertical="center" shrinkToFit="1"/>
    </xf>
    <xf numFmtId="0" fontId="15" fillId="0" borderId="7" xfId="1" applyFont="1" applyBorder="1" applyAlignment="1">
      <alignment vertical="center"/>
    </xf>
    <xf numFmtId="0" fontId="45" fillId="0" borderId="8" xfId="1" applyFont="1" applyBorder="1" applyAlignment="1">
      <alignment vertical="center"/>
    </xf>
    <xf numFmtId="0" fontId="45" fillId="0" borderId="20" xfId="1" applyFont="1" applyBorder="1"/>
    <xf numFmtId="0" fontId="45" fillId="0" borderId="34" xfId="1" applyFont="1" applyBorder="1" applyAlignment="1">
      <alignment horizontal="center" vertical="center" shrinkToFit="1"/>
    </xf>
    <xf numFmtId="0" fontId="45" fillId="0" borderId="34" xfId="1" applyFont="1" applyBorder="1" applyAlignment="1">
      <alignment horizontal="center" vertical="center"/>
    </xf>
    <xf numFmtId="0" fontId="15" fillId="0" borderId="8" xfId="1" applyFont="1" applyBorder="1" applyAlignment="1">
      <alignment vertical="center"/>
    </xf>
    <xf numFmtId="0" fontId="45" fillId="0" borderId="8" xfId="1" applyFont="1" applyBorder="1"/>
    <xf numFmtId="0" fontId="45" fillId="0" borderId="42" xfId="1" applyFont="1" applyBorder="1" applyAlignment="1">
      <alignment vertical="center"/>
    </xf>
    <xf numFmtId="0" fontId="45" fillId="0" borderId="5" xfId="1" applyFont="1" applyBorder="1" applyAlignment="1">
      <alignment vertical="center"/>
    </xf>
    <xf numFmtId="0" fontId="45" fillId="0" borderId="47" xfId="1" applyFont="1" applyBorder="1" applyAlignment="1">
      <alignment horizontal="center" vertical="center" shrinkToFit="1"/>
    </xf>
    <xf numFmtId="0" fontId="45" fillId="0" borderId="47" xfId="1" applyFont="1" applyBorder="1" applyAlignment="1">
      <alignment horizontal="center" vertical="center"/>
    </xf>
    <xf numFmtId="0" fontId="15" fillId="0" borderId="16" xfId="1" applyFont="1" applyBorder="1" applyAlignment="1">
      <alignment vertical="center"/>
    </xf>
    <xf numFmtId="0" fontId="45" fillId="0" borderId="16" xfId="1" applyFont="1" applyBorder="1" applyAlignment="1">
      <alignment vertical="center"/>
    </xf>
    <xf numFmtId="0" fontId="45" fillId="0" borderId="16" xfId="1" applyFont="1" applyBorder="1"/>
    <xf numFmtId="0" fontId="6" fillId="0" borderId="8" xfId="1" applyFont="1" applyBorder="1" applyAlignment="1">
      <alignment horizontal="center" vertical="center"/>
    </xf>
    <xf numFmtId="0" fontId="59" fillId="10" borderId="34" xfId="1" applyFont="1" applyFill="1" applyBorder="1" applyAlignment="1">
      <alignment horizontal="center" vertical="center"/>
    </xf>
    <xf numFmtId="0" fontId="10" fillId="0" borderId="8" xfId="1" applyFont="1" applyBorder="1" applyAlignment="1">
      <alignment horizontal="center" vertical="center"/>
    </xf>
    <xf numFmtId="0" fontId="6" fillId="0" borderId="7" xfId="1" applyFont="1" applyBorder="1" applyAlignment="1">
      <alignment horizontal="center" vertical="center"/>
    </xf>
    <xf numFmtId="0" fontId="19" fillId="0" borderId="8" xfId="1" applyFont="1" applyBorder="1" applyAlignment="1">
      <alignment vertical="center"/>
    </xf>
    <xf numFmtId="0" fontId="6" fillId="0" borderId="8" xfId="1" applyFont="1" applyBorder="1" applyAlignment="1">
      <alignment vertical="center"/>
    </xf>
    <xf numFmtId="0" fontId="37" fillId="0" borderId="0" xfId="1" applyFont="1" applyAlignment="1">
      <alignment horizontal="right" vertical="center"/>
    </xf>
    <xf numFmtId="0" fontId="37" fillId="10" borderId="0" xfId="1" applyFont="1" applyFill="1" applyAlignment="1">
      <alignment horizontal="right" vertical="center"/>
    </xf>
    <xf numFmtId="0" fontId="61" fillId="3" borderId="18" xfId="1" applyFont="1" applyFill="1" applyBorder="1" applyAlignment="1">
      <alignment horizontal="center" vertical="center"/>
    </xf>
    <xf numFmtId="0" fontId="15" fillId="0" borderId="18" xfId="1" applyFont="1" applyBorder="1" applyAlignment="1">
      <alignment horizontal="center" vertical="center"/>
    </xf>
    <xf numFmtId="0" fontId="62" fillId="3" borderId="34" xfId="3" applyFont="1" applyFill="1" applyBorder="1" applyAlignment="1">
      <alignment horizontal="center" vertical="center"/>
    </xf>
    <xf numFmtId="0" fontId="63" fillId="13" borderId="34" xfId="3" applyFont="1" applyFill="1" applyBorder="1" applyAlignment="1">
      <alignment horizontal="center" vertical="center"/>
    </xf>
    <xf numFmtId="0" fontId="63" fillId="14" borderId="34" xfId="3" applyFont="1" applyFill="1" applyBorder="1" applyAlignment="1">
      <alignment horizontal="center" vertical="center"/>
    </xf>
    <xf numFmtId="0" fontId="63" fillId="0" borderId="34" xfId="3" applyFont="1" applyBorder="1" applyAlignment="1">
      <alignment horizontal="center" vertical="center"/>
    </xf>
    <xf numFmtId="0" fontId="63" fillId="14" borderId="53" xfId="3" applyFont="1" applyFill="1" applyBorder="1" applyAlignment="1">
      <alignment horizontal="center" vertical="center"/>
    </xf>
    <xf numFmtId="0" fontId="63" fillId="13" borderId="53" xfId="3" applyFont="1" applyFill="1" applyBorder="1" applyAlignment="1">
      <alignment horizontal="center" vertical="center"/>
    </xf>
    <xf numFmtId="0" fontId="62" fillId="3" borderId="53" xfId="3" applyFont="1" applyFill="1" applyBorder="1" applyAlignment="1">
      <alignment horizontal="center" vertical="center"/>
    </xf>
    <xf numFmtId="0" fontId="62" fillId="3" borderId="29" xfId="3" applyFont="1" applyFill="1" applyBorder="1" applyAlignment="1">
      <alignment horizontal="center" vertical="center"/>
    </xf>
    <xf numFmtId="0" fontId="63" fillId="0" borderId="29" xfId="3" applyFont="1" applyBorder="1" applyAlignment="1">
      <alignment horizontal="center" vertical="center"/>
    </xf>
    <xf numFmtId="0" fontId="25" fillId="13" borderId="34" xfId="3" applyFont="1" applyFill="1" applyBorder="1" applyAlignment="1">
      <alignment horizontal="center" vertical="center"/>
    </xf>
    <xf numFmtId="0" fontId="25" fillId="14" borderId="34" xfId="3" applyFont="1" applyFill="1" applyBorder="1" applyAlignment="1">
      <alignment horizontal="center" vertical="center"/>
    </xf>
    <xf numFmtId="0" fontId="12" fillId="0" borderId="41" xfId="1" applyFont="1" applyBorder="1" applyAlignment="1">
      <alignment horizontal="center" vertical="center"/>
    </xf>
    <xf numFmtId="0" fontId="12" fillId="0" borderId="8" xfId="1" applyFont="1" applyBorder="1" applyAlignment="1">
      <alignment horizontal="center" vertical="center"/>
    </xf>
    <xf numFmtId="0" fontId="12" fillId="0" borderId="9" xfId="1" applyFont="1" applyBorder="1" applyAlignment="1">
      <alignment horizontal="center" vertical="center"/>
    </xf>
    <xf numFmtId="0" fontId="6" fillId="0" borderId="41" xfId="1" applyFont="1" applyBorder="1" applyAlignment="1">
      <alignment horizontal="center" vertical="center"/>
    </xf>
    <xf numFmtId="0" fontId="6" fillId="0" borderId="8" xfId="1" applyFont="1" applyBorder="1" applyAlignment="1">
      <alignment horizontal="center" vertical="center"/>
    </xf>
    <xf numFmtId="0" fontId="6" fillId="0" borderId="9" xfId="1" applyFont="1" applyBorder="1" applyAlignment="1">
      <alignment horizontal="center" vertical="center"/>
    </xf>
    <xf numFmtId="0" fontId="28" fillId="3" borderId="41" xfId="1" applyFont="1" applyFill="1" applyBorder="1" applyAlignment="1">
      <alignment horizontal="center" vertical="center" shrinkToFit="1"/>
    </xf>
    <xf numFmtId="0" fontId="28" fillId="3" borderId="8" xfId="1" applyFont="1" applyFill="1" applyBorder="1" applyAlignment="1">
      <alignment horizontal="center" vertical="center" shrinkToFit="1"/>
    </xf>
    <xf numFmtId="0" fontId="28" fillId="3" borderId="9" xfId="1" applyFont="1" applyFill="1" applyBorder="1" applyAlignment="1">
      <alignment horizontal="center" vertical="center" shrinkToFit="1"/>
    </xf>
    <xf numFmtId="0" fontId="6" fillId="0" borderId="44" xfId="1" applyFont="1" applyBorder="1" applyAlignment="1">
      <alignment horizontal="center" vertical="center"/>
    </xf>
    <xf numFmtId="0" fontId="6" fillId="0" borderId="45" xfId="1" applyFont="1" applyBorder="1" applyAlignment="1">
      <alignment horizontal="center" vertical="center"/>
    </xf>
    <xf numFmtId="0" fontId="6" fillId="0" borderId="46" xfId="1" applyFont="1" applyBorder="1" applyAlignment="1">
      <alignment horizontal="center" vertical="center"/>
    </xf>
    <xf numFmtId="0" fontId="25" fillId="0" borderId="41" xfId="1" applyFont="1" applyBorder="1" applyAlignment="1">
      <alignment horizontal="center" vertical="center"/>
    </xf>
    <xf numFmtId="0" fontId="25" fillId="0" borderId="8" xfId="1" applyFont="1" applyBorder="1" applyAlignment="1">
      <alignment horizontal="center" vertical="center"/>
    </xf>
    <xf numFmtId="0" fontId="25" fillId="0" borderId="9" xfId="1" applyFont="1" applyBorder="1" applyAlignment="1">
      <alignment horizontal="center" vertical="center"/>
    </xf>
    <xf numFmtId="0" fontId="9" fillId="0" borderId="109" xfId="1" applyFont="1" applyBorder="1" applyAlignment="1">
      <alignment horizontal="center" vertical="center" shrinkToFit="1"/>
    </xf>
    <xf numFmtId="0" fontId="9" fillId="0" borderId="110" xfId="1" applyFont="1" applyBorder="1" applyAlignment="1">
      <alignment horizontal="center" vertical="center" shrinkToFit="1"/>
    </xf>
    <xf numFmtId="0" fontId="53" fillId="0" borderId="111" xfId="1" applyFont="1" applyBorder="1" applyAlignment="1">
      <alignment horizontal="center" vertical="center"/>
    </xf>
    <xf numFmtId="0" fontId="10" fillId="0" borderId="3" xfId="1" applyFont="1" applyBorder="1" applyAlignment="1">
      <alignment horizontal="center" vertical="center" textRotation="255" shrinkToFit="1"/>
    </xf>
    <xf numFmtId="0" fontId="10" fillId="0" borderId="69" xfId="1" applyFont="1" applyBorder="1" applyAlignment="1">
      <alignment horizontal="center" vertical="center" textRotation="255" shrinkToFit="1"/>
    </xf>
    <xf numFmtId="0" fontId="10" fillId="0" borderId="6" xfId="1" applyFont="1" applyBorder="1" applyAlignment="1">
      <alignment horizontal="center" vertical="center" textRotation="255" shrinkToFit="1"/>
    </xf>
    <xf numFmtId="0" fontId="22" fillId="0" borderId="7" xfId="1" applyFont="1" applyBorder="1" applyAlignment="1">
      <alignment horizontal="left" vertical="center" shrinkToFit="1"/>
    </xf>
    <xf numFmtId="0" fontId="22" fillId="0" borderId="8" xfId="1" applyFont="1" applyBorder="1" applyAlignment="1">
      <alignment horizontal="left" vertical="center" shrinkToFit="1"/>
    </xf>
    <xf numFmtId="0" fontId="22" fillId="0" borderId="9" xfId="1" applyFont="1" applyBorder="1" applyAlignment="1">
      <alignment horizontal="left" vertical="center" shrinkToFit="1"/>
    </xf>
    <xf numFmtId="0" fontId="9" fillId="0" borderId="0" xfId="1" applyFont="1" applyAlignment="1">
      <alignment horizontal="right" vertical="center" shrinkToFit="1"/>
    </xf>
    <xf numFmtId="0" fontId="9" fillId="0" borderId="0" xfId="1" applyFont="1" applyAlignment="1">
      <alignment horizontal="right" vertical="center"/>
    </xf>
    <xf numFmtId="0" fontId="17" fillId="0" borderId="1" xfId="1" applyFont="1" applyBorder="1" applyAlignment="1">
      <alignment horizontal="left" vertical="center"/>
    </xf>
    <xf numFmtId="0" fontId="17" fillId="0" borderId="2" xfId="1" applyFont="1" applyBorder="1" applyAlignment="1">
      <alignment horizontal="left" vertical="center"/>
    </xf>
    <xf numFmtId="0" fontId="17" fillId="0" borderId="3" xfId="1" applyFont="1" applyBorder="1" applyAlignment="1">
      <alignment horizontal="left" vertical="center"/>
    </xf>
    <xf numFmtId="0" fontId="17" fillId="0" borderId="4" xfId="1" applyFont="1" applyBorder="1" applyAlignment="1">
      <alignment horizontal="left" vertical="center"/>
    </xf>
    <xf numFmtId="0" fontId="17" fillId="0" borderId="5" xfId="1" applyFont="1" applyBorder="1" applyAlignment="1">
      <alignment horizontal="left" vertical="center"/>
    </xf>
    <xf numFmtId="0" fontId="17" fillId="0" borderId="6" xfId="1" applyFont="1" applyBorder="1" applyAlignment="1">
      <alignment horizontal="left" vertical="center"/>
    </xf>
    <xf numFmtId="0" fontId="55" fillId="3" borderId="7" xfId="1" applyFont="1" applyFill="1" applyBorder="1" applyAlignment="1">
      <alignment horizontal="left" vertical="center" shrinkToFit="1"/>
    </xf>
    <xf numFmtId="0" fontId="55" fillId="3" borderId="8" xfId="1" applyFont="1" applyFill="1" applyBorder="1" applyAlignment="1">
      <alignment horizontal="left" vertical="center" shrinkToFit="1"/>
    </xf>
    <xf numFmtId="0" fontId="55" fillId="3" borderId="9" xfId="1" applyFont="1" applyFill="1" applyBorder="1" applyAlignment="1">
      <alignment horizontal="left" vertical="center" shrinkToFit="1"/>
    </xf>
    <xf numFmtId="0" fontId="20" fillId="0" borderId="7" xfId="1" applyFont="1" applyBorder="1" applyAlignment="1">
      <alignment horizontal="left" vertical="center" shrinkToFit="1"/>
    </xf>
    <xf numFmtId="0" fontId="20" fillId="0" borderId="8" xfId="1" applyFont="1" applyBorder="1" applyAlignment="1">
      <alignment horizontal="left" vertical="center" shrinkToFit="1"/>
    </xf>
    <xf numFmtId="0" fontId="20" fillId="0" borderId="9" xfId="1" applyFont="1" applyBorder="1" applyAlignment="1">
      <alignment horizontal="left" vertical="center" shrinkToFit="1"/>
    </xf>
    <xf numFmtId="0" fontId="6" fillId="0" borderId="5" xfId="1" applyFont="1" applyBorder="1" applyAlignment="1">
      <alignment horizontal="center" vertical="center"/>
    </xf>
    <xf numFmtId="0" fontId="59" fillId="4" borderId="5" xfId="1" applyFont="1" applyFill="1" applyBorder="1" applyAlignment="1">
      <alignment horizontal="center" vertical="center" shrinkToFit="1"/>
    </xf>
    <xf numFmtId="0" fontId="10" fillId="0" borderId="18" xfId="1" applyFont="1" applyBorder="1" applyAlignment="1">
      <alignment horizontal="center" vertical="center" textRotation="255" shrinkToFit="1"/>
    </xf>
    <xf numFmtId="0" fontId="10" fillId="0" borderId="22" xfId="1" applyFont="1" applyBorder="1" applyAlignment="1">
      <alignment horizontal="center" vertical="center" textRotation="255" shrinkToFit="1"/>
    </xf>
    <xf numFmtId="0" fontId="10" fillId="0" borderId="29" xfId="1" applyFont="1" applyBorder="1" applyAlignment="1">
      <alignment horizontal="center" vertical="center" textRotation="255" shrinkToFit="1"/>
    </xf>
    <xf numFmtId="0" fontId="54" fillId="0" borderId="5" xfId="1" applyFont="1" applyBorder="1" applyAlignment="1">
      <alignment horizontal="center" vertical="center" shrinkToFit="1"/>
    </xf>
    <xf numFmtId="0" fontId="10" fillId="0" borderId="34" xfId="1" applyFont="1" applyBorder="1" applyAlignment="1">
      <alignment horizontal="center" vertical="center" textRotation="255" shrinkToFit="1"/>
    </xf>
    <xf numFmtId="0" fontId="17" fillId="0" borderId="7" xfId="1" applyFont="1" applyBorder="1" applyAlignment="1">
      <alignment horizontal="left" vertical="center" shrinkToFit="1"/>
    </xf>
    <xf numFmtId="0" fontId="17" fillId="0" borderId="8" xfId="1" applyFont="1" applyBorder="1" applyAlignment="1">
      <alignment horizontal="left" vertical="center" shrinkToFit="1"/>
    </xf>
    <xf numFmtId="0" fontId="17" fillId="0" borderId="9" xfId="1" applyFont="1" applyBorder="1" applyAlignment="1">
      <alignment horizontal="left" vertical="center" shrinkToFit="1"/>
    </xf>
    <xf numFmtId="0" fontId="38" fillId="0" borderId="51" xfId="1" applyFont="1" applyBorder="1" applyAlignment="1">
      <alignment horizontal="left" vertical="center" shrinkToFit="1"/>
    </xf>
    <xf numFmtId="0" fontId="38" fillId="0" borderId="2" xfId="1" applyFont="1" applyBorder="1" applyAlignment="1">
      <alignment horizontal="left" vertical="center" shrinkToFit="1"/>
    </xf>
    <xf numFmtId="0" fontId="6" fillId="0" borderId="10" xfId="1" applyFont="1" applyBorder="1" applyAlignment="1">
      <alignment horizontal="right" vertical="center"/>
    </xf>
    <xf numFmtId="0" fontId="6" fillId="0" borderId="11" xfId="1" applyFont="1" applyBorder="1" applyAlignment="1">
      <alignment horizontal="right" vertical="center"/>
    </xf>
    <xf numFmtId="0" fontId="6" fillId="7" borderId="34" xfId="1" applyFont="1" applyFill="1" applyBorder="1" applyAlignment="1">
      <alignment horizontal="center" vertical="center" shrinkToFit="1"/>
    </xf>
    <xf numFmtId="0" fontId="30" fillId="7" borderId="34" xfId="1" applyFont="1" applyFill="1" applyBorder="1" applyAlignment="1">
      <alignment horizontal="center" vertical="center" textRotation="255" shrinkToFit="1"/>
    </xf>
    <xf numFmtId="0" fontId="39" fillId="3" borderId="7" xfId="1" applyFont="1" applyFill="1" applyBorder="1" applyAlignment="1">
      <alignment horizontal="left" vertical="center" shrinkToFit="1"/>
    </xf>
    <xf numFmtId="0" fontId="39" fillId="3" borderId="8" xfId="1" applyFont="1" applyFill="1" applyBorder="1" applyAlignment="1">
      <alignment horizontal="left" vertical="center" shrinkToFit="1"/>
    </xf>
    <xf numFmtId="0" fontId="39" fillId="3" borderId="9" xfId="1" applyFont="1" applyFill="1" applyBorder="1" applyAlignment="1">
      <alignment horizontal="left" vertical="center" shrinkToFit="1"/>
    </xf>
    <xf numFmtId="0" fontId="6" fillId="0" borderId="37" xfId="1" applyFont="1" applyBorder="1" applyAlignment="1">
      <alignment horizontal="center" vertical="center"/>
    </xf>
    <xf numFmtId="0" fontId="36" fillId="12" borderId="2" xfId="1" applyFont="1" applyFill="1" applyBorder="1" applyAlignment="1">
      <alignment horizontal="center" vertical="center" shrinkToFit="1"/>
    </xf>
    <xf numFmtId="0" fontId="10" fillId="0" borderId="18" xfId="1" applyFont="1" applyBorder="1" applyAlignment="1">
      <alignment horizontal="center" vertical="center"/>
    </xf>
    <xf numFmtId="0" fontId="10" fillId="0" borderId="94" xfId="1" applyFont="1" applyBorder="1" applyAlignment="1">
      <alignment horizontal="center" vertical="center"/>
    </xf>
    <xf numFmtId="0" fontId="10" fillId="0" borderId="29" xfId="1" applyFont="1" applyBorder="1" applyAlignment="1">
      <alignment horizontal="center" vertical="center"/>
    </xf>
    <xf numFmtId="0" fontId="10" fillId="0" borderId="18" xfId="1" applyFont="1" applyBorder="1" applyAlignment="1">
      <alignment horizontal="center" vertical="center" shrinkToFit="1"/>
    </xf>
    <xf numFmtId="0" fontId="10" fillId="0" borderId="22" xfId="1" applyFont="1" applyBorder="1" applyAlignment="1">
      <alignment horizontal="center" vertical="center" shrinkToFit="1"/>
    </xf>
    <xf numFmtId="0" fontId="10" fillId="0" borderId="29" xfId="1" applyFont="1" applyBorder="1" applyAlignment="1">
      <alignment horizontal="center" vertical="center" shrinkToFit="1"/>
    </xf>
    <xf numFmtId="0" fontId="6" fillId="0" borderId="10" xfId="0" applyFont="1" applyBorder="1" applyAlignment="1">
      <alignment horizontal="center" vertical="center"/>
    </xf>
    <xf numFmtId="0" fontId="6" fillId="0" borderId="11" xfId="0" applyFont="1" applyBorder="1" applyAlignment="1">
      <alignment horizontal="center" vertical="center"/>
    </xf>
    <xf numFmtId="0" fontId="36" fillId="3" borderId="5" xfId="1" applyFont="1" applyFill="1" applyBorder="1" applyAlignment="1">
      <alignment horizontal="center" vertical="center" shrinkToFit="1"/>
    </xf>
    <xf numFmtId="0" fontId="17" fillId="4" borderId="7" xfId="1" applyFont="1" applyFill="1" applyBorder="1" applyAlignment="1">
      <alignment horizontal="left" vertical="center" shrinkToFit="1"/>
    </xf>
    <xf numFmtId="0" fontId="17" fillId="4" borderId="8" xfId="1" applyFont="1" applyFill="1" applyBorder="1" applyAlignment="1">
      <alignment horizontal="left" vertical="center" shrinkToFit="1"/>
    </xf>
    <xf numFmtId="0" fontId="17" fillId="4" borderId="9" xfId="1" applyFont="1" applyFill="1" applyBorder="1" applyAlignment="1">
      <alignment horizontal="left" vertical="center" shrinkToFit="1"/>
    </xf>
    <xf numFmtId="0" fontId="6" fillId="0" borderId="90" xfId="1" applyFont="1" applyBorder="1" applyAlignment="1">
      <alignment horizontal="center" vertical="center" textRotation="255" shrinkToFit="1"/>
    </xf>
    <xf numFmtId="0" fontId="6" fillId="0" borderId="91" xfId="1" applyFont="1" applyBorder="1" applyAlignment="1">
      <alignment horizontal="center" vertical="center" textRotation="255" shrinkToFit="1"/>
    </xf>
    <xf numFmtId="0" fontId="6" fillId="0" borderId="93" xfId="1" applyFont="1" applyBorder="1" applyAlignment="1">
      <alignment horizontal="center" vertical="center" textRotation="255" shrinkToFit="1"/>
    </xf>
    <xf numFmtId="0" fontId="20" fillId="0" borderId="18" xfId="1" applyFont="1" applyBorder="1" applyAlignment="1">
      <alignment horizontal="center" vertical="center" wrapText="1"/>
    </xf>
    <xf numFmtId="0" fontId="20" fillId="0" borderId="29" xfId="1" applyFont="1" applyBorder="1" applyAlignment="1">
      <alignment horizontal="center" vertical="center" wrapText="1"/>
    </xf>
    <xf numFmtId="0" fontId="15" fillId="0" borderId="19" xfId="1" applyFont="1" applyBorder="1" applyAlignment="1">
      <alignment horizontal="left" vertical="center" shrinkToFit="1"/>
    </xf>
    <xf numFmtId="0" fontId="15" fillId="0" borderId="20" xfId="1" applyFont="1" applyBorder="1" applyAlignment="1">
      <alignment horizontal="left" vertical="center" shrinkToFit="1"/>
    </xf>
    <xf numFmtId="0" fontId="15" fillId="0" borderId="81" xfId="1" applyFont="1" applyBorder="1" applyAlignment="1">
      <alignment horizontal="left" vertical="center" shrinkToFit="1"/>
    </xf>
    <xf numFmtId="0" fontId="6" fillId="0" borderId="100" xfId="1" applyFont="1" applyBorder="1" applyAlignment="1">
      <alignment horizontal="center"/>
    </xf>
    <xf numFmtId="0" fontId="6" fillId="0" borderId="81" xfId="1" applyFont="1" applyBorder="1" applyAlignment="1">
      <alignment horizontal="center"/>
    </xf>
    <xf numFmtId="0" fontId="6" fillId="0" borderId="101" xfId="1" applyFont="1" applyBorder="1" applyAlignment="1">
      <alignment horizontal="center"/>
    </xf>
    <xf numFmtId="0" fontId="6" fillId="0" borderId="102" xfId="1" applyFont="1" applyBorder="1" applyAlignment="1">
      <alignment horizontal="center"/>
    </xf>
    <xf numFmtId="0" fontId="20" fillId="0" borderId="94" xfId="1" applyFont="1" applyBorder="1" applyAlignment="1">
      <alignment horizontal="center" vertical="center" wrapText="1"/>
    </xf>
    <xf numFmtId="0" fontId="20" fillId="0" borderId="19" xfId="1" applyFont="1" applyBorder="1" applyAlignment="1">
      <alignment horizontal="left" vertical="center" shrinkToFit="1"/>
    </xf>
    <xf numFmtId="0" fontId="20" fillId="0" borderId="20" xfId="1" applyFont="1" applyBorder="1" applyAlignment="1">
      <alignment horizontal="left" vertical="center" shrinkToFit="1"/>
    </xf>
    <xf numFmtId="0" fontId="20" fillId="0" borderId="81" xfId="1" applyFont="1" applyBorder="1" applyAlignment="1">
      <alignment horizontal="left" vertical="center" shrinkToFit="1"/>
    </xf>
    <xf numFmtId="0" fontId="15" fillId="0" borderId="108" xfId="1" applyFont="1" applyBorder="1" applyAlignment="1">
      <alignment horizontal="left" vertical="center" shrinkToFit="1"/>
    </xf>
    <xf numFmtId="0" fontId="15" fillId="0" borderId="96" xfId="1" applyFont="1" applyBorder="1" applyAlignment="1">
      <alignment horizontal="left" vertical="center" shrinkToFit="1"/>
    </xf>
    <xf numFmtId="0" fontId="15" fillId="0" borderId="97" xfId="1" applyFont="1" applyBorder="1" applyAlignment="1">
      <alignment horizontal="left" vertical="center" shrinkToFit="1"/>
    </xf>
    <xf numFmtId="0" fontId="6" fillId="0" borderId="103" xfId="1" applyFont="1" applyBorder="1" applyAlignment="1">
      <alignment horizontal="center"/>
    </xf>
    <xf numFmtId="0" fontId="6" fillId="0" borderId="97" xfId="1" applyFont="1" applyBorder="1" applyAlignment="1">
      <alignment horizontal="center"/>
    </xf>
    <xf numFmtId="0" fontId="6" fillId="0" borderId="41" xfId="1" applyFont="1" applyBorder="1" applyAlignment="1">
      <alignment horizontal="center"/>
    </xf>
    <xf numFmtId="0" fontId="6" fillId="0" borderId="42" xfId="1" applyFont="1" applyBorder="1" applyAlignment="1">
      <alignment horizontal="center"/>
    </xf>
    <xf numFmtId="0" fontId="20" fillId="0" borderId="9" xfId="1" applyFont="1" applyBorder="1" applyAlignment="1">
      <alignment horizontal="center" vertical="center" wrapText="1"/>
    </xf>
    <xf numFmtId="0" fontId="6" fillId="0" borderId="34" xfId="1" applyFont="1" applyBorder="1" applyAlignment="1">
      <alignment horizontal="center" vertical="center"/>
    </xf>
    <xf numFmtId="0" fontId="6" fillId="0" borderId="39" xfId="1" applyFont="1" applyBorder="1" applyAlignment="1">
      <alignment horizontal="center" vertical="center"/>
    </xf>
    <xf numFmtId="0" fontId="6" fillId="0" borderId="98" xfId="1" applyFont="1" applyBorder="1" applyAlignment="1">
      <alignment horizontal="center" vertical="center"/>
    </xf>
    <xf numFmtId="0" fontId="6" fillId="0" borderId="36" xfId="1" applyFont="1" applyBorder="1" applyAlignment="1">
      <alignment horizontal="center"/>
    </xf>
    <xf numFmtId="0" fontId="6" fillId="0" borderId="99" xfId="1" applyFont="1" applyBorder="1" applyAlignment="1">
      <alignment horizontal="center"/>
    </xf>
    <xf numFmtId="0" fontId="6" fillId="0" borderId="11" xfId="1" applyFont="1" applyBorder="1" applyAlignment="1">
      <alignment horizontal="left" vertical="center"/>
    </xf>
    <xf numFmtId="0" fontId="6" fillId="0" borderId="12" xfId="1" applyFont="1" applyBorder="1" applyAlignment="1">
      <alignment horizontal="left" vertical="center"/>
    </xf>
    <xf numFmtId="0" fontId="15" fillId="0" borderId="7" xfId="1" applyFont="1" applyBorder="1" applyAlignment="1">
      <alignment horizontal="left" vertical="center" shrinkToFit="1"/>
    </xf>
    <xf numFmtId="0" fontId="15" fillId="0" borderId="8" xfId="1" applyFont="1" applyBorder="1" applyAlignment="1">
      <alignment horizontal="left" vertical="center" shrinkToFit="1"/>
    </xf>
    <xf numFmtId="0" fontId="15" fillId="0" borderId="42" xfId="1" applyFont="1" applyBorder="1" applyAlignment="1">
      <alignment horizontal="left" vertical="center" shrinkToFit="1"/>
    </xf>
    <xf numFmtId="0" fontId="20" fillId="0" borderId="87" xfId="1" applyFont="1" applyBorder="1" applyAlignment="1">
      <alignment horizontal="left" vertical="center" shrinkToFit="1"/>
    </xf>
    <xf numFmtId="0" fontId="20" fillId="0" borderId="85" xfId="1" applyFont="1" applyBorder="1" applyAlignment="1">
      <alignment horizontal="left" vertical="center" shrinkToFit="1"/>
    </xf>
    <xf numFmtId="0" fontId="20" fillId="0" borderId="86" xfId="1" applyFont="1" applyBorder="1" applyAlignment="1">
      <alignment horizontal="left" vertical="center" shrinkToFit="1"/>
    </xf>
    <xf numFmtId="0" fontId="6" fillId="0" borderId="83" xfId="1" applyFont="1" applyBorder="1" applyAlignment="1">
      <alignment horizontal="center"/>
    </xf>
    <xf numFmtId="0" fontId="6" fillId="0" borderId="86" xfId="1" applyFont="1" applyBorder="1" applyAlignment="1">
      <alignment horizontal="center"/>
    </xf>
    <xf numFmtId="0" fontId="45" fillId="0" borderId="39" xfId="1" applyFont="1" applyBorder="1" applyAlignment="1">
      <alignment horizontal="center" vertical="center"/>
    </xf>
    <xf numFmtId="0" fontId="45" fillId="0" borderId="98" xfId="1" applyFont="1" applyBorder="1" applyAlignment="1">
      <alignment horizontal="center" vertical="center"/>
    </xf>
    <xf numFmtId="0" fontId="6" fillId="0" borderId="44" xfId="1" applyFont="1" applyBorder="1" applyAlignment="1">
      <alignment horizontal="center"/>
    </xf>
    <xf numFmtId="0" fontId="6" fillId="0" borderId="48" xfId="1" applyFont="1" applyBorder="1" applyAlignment="1">
      <alignment horizontal="center"/>
    </xf>
    <xf numFmtId="0" fontId="46" fillId="0" borderId="0" xfId="1" applyFont="1" applyAlignment="1">
      <alignment horizontal="center" vertical="center" shrinkToFit="1"/>
    </xf>
    <xf numFmtId="0" fontId="46" fillId="0" borderId="69" xfId="1" applyFont="1" applyBorder="1" applyAlignment="1">
      <alignment horizontal="center" vertical="center" shrinkToFit="1"/>
    </xf>
    <xf numFmtId="0" fontId="34" fillId="0" borderId="0" xfId="1" applyFont="1" applyAlignment="1">
      <alignment horizontal="right"/>
    </xf>
    <xf numFmtId="0" fontId="34" fillId="0" borderId="69" xfId="1" applyFont="1" applyBorder="1" applyAlignment="1">
      <alignment horizontal="right"/>
    </xf>
    <xf numFmtId="0" fontId="34" fillId="0" borderId="16" xfId="1" applyFont="1" applyBorder="1" applyAlignment="1">
      <alignment horizontal="right"/>
    </xf>
    <xf numFmtId="0" fontId="34" fillId="0" borderId="107" xfId="1" applyFont="1" applyBorder="1" applyAlignment="1">
      <alignment horizontal="right"/>
    </xf>
    <xf numFmtId="0" fontId="12" fillId="0" borderId="37" xfId="1" applyFont="1" applyBorder="1" applyAlignment="1">
      <alignment horizontal="center" shrinkToFit="1"/>
    </xf>
    <xf numFmtId="0" fontId="12" fillId="0" borderId="99" xfId="1" applyFont="1" applyBorder="1" applyAlignment="1">
      <alignment horizontal="center" shrinkToFit="1"/>
    </xf>
    <xf numFmtId="0" fontId="6" fillId="0" borderId="67" xfId="1" applyFont="1" applyBorder="1" applyAlignment="1">
      <alignment horizontal="center" vertical="center" shrinkToFit="1"/>
    </xf>
    <xf numFmtId="0" fontId="6" fillId="0" borderId="0" xfId="1" applyFont="1" applyAlignment="1">
      <alignment horizontal="center" vertical="center" shrinkToFit="1"/>
    </xf>
    <xf numFmtId="0" fontId="6" fillId="0" borderId="14" xfId="1" applyFont="1" applyBorder="1" applyAlignment="1">
      <alignment horizontal="center" vertical="center" shrinkToFit="1"/>
    </xf>
    <xf numFmtId="0" fontId="48" fillId="0" borderId="67" xfId="1" applyFont="1" applyBorder="1" applyAlignment="1">
      <alignment horizontal="center" vertical="center" shrinkToFit="1"/>
    </xf>
    <xf numFmtId="0" fontId="48" fillId="0" borderId="0" xfId="1" applyFont="1" applyAlignment="1">
      <alignment horizontal="center" vertical="center" shrinkToFit="1"/>
    </xf>
    <xf numFmtId="0" fontId="48" fillId="0" borderId="14" xfId="1" applyFont="1" applyBorder="1" applyAlignment="1">
      <alignment horizontal="center" vertical="center" shrinkToFit="1"/>
    </xf>
    <xf numFmtId="0" fontId="48" fillId="0" borderId="106" xfId="1" applyFont="1" applyBorder="1" applyAlignment="1">
      <alignment horizontal="center" vertical="center" shrinkToFit="1"/>
    </xf>
    <xf numFmtId="0" fontId="48" fillId="0" borderId="16" xfId="1" applyFont="1" applyBorder="1" applyAlignment="1">
      <alignment horizontal="center" vertical="center" shrinkToFit="1"/>
    </xf>
    <xf numFmtId="0" fontId="48" fillId="0" borderId="17" xfId="1" applyFont="1" applyBorder="1" applyAlignment="1">
      <alignment horizontal="center" vertical="center" shrinkToFit="1"/>
    </xf>
    <xf numFmtId="0" fontId="12" fillId="0" borderId="89" xfId="1" applyFont="1" applyBorder="1" applyAlignment="1">
      <alignment horizontal="center" shrinkToFit="1"/>
    </xf>
    <xf numFmtId="0" fontId="12" fillId="0" borderId="39" xfId="1" applyFont="1" applyBorder="1" applyAlignment="1">
      <alignment horizontal="center" shrinkToFit="1"/>
    </xf>
    <xf numFmtId="0" fontId="12" fillId="0" borderId="40" xfId="1" applyFont="1" applyBorder="1" applyAlignment="1">
      <alignment horizontal="center" shrinkToFit="1"/>
    </xf>
    <xf numFmtId="0" fontId="6" fillId="0" borderId="34" xfId="1" applyFont="1" applyBorder="1" applyAlignment="1">
      <alignment horizontal="center" vertical="center" shrinkToFit="1"/>
    </xf>
    <xf numFmtId="0" fontId="6" fillId="0" borderId="43" xfId="1" applyFont="1" applyBorder="1" applyAlignment="1">
      <alignment horizontal="center" vertical="center" shrinkToFit="1"/>
    </xf>
    <xf numFmtId="0" fontId="49" fillId="0" borderId="34" xfId="1" applyFont="1" applyBorder="1" applyAlignment="1">
      <alignment horizontal="center" vertical="center" shrinkToFit="1"/>
    </xf>
    <xf numFmtId="0" fontId="49" fillId="0" borderId="43" xfId="1" applyFont="1" applyBorder="1" applyAlignment="1">
      <alignment horizontal="center" vertical="center" shrinkToFit="1"/>
    </xf>
    <xf numFmtId="0" fontId="49" fillId="0" borderId="47" xfId="1" applyFont="1" applyBorder="1" applyAlignment="1">
      <alignment horizontal="center" vertical="center" shrinkToFit="1"/>
    </xf>
    <xf numFmtId="0" fontId="49" fillId="0" borderId="54" xfId="1" applyFont="1" applyBorder="1" applyAlignment="1">
      <alignment horizontal="center" vertical="center" shrinkToFit="1"/>
    </xf>
    <xf numFmtId="0" fontId="46" fillId="0" borderId="56" xfId="1" applyFont="1" applyBorder="1" applyAlignment="1">
      <alignment horizontal="center" shrinkToFit="1"/>
    </xf>
    <xf numFmtId="0" fontId="46" fillId="0" borderId="34" xfId="1" applyFont="1" applyBorder="1" applyAlignment="1">
      <alignment horizontal="center" shrinkToFit="1"/>
    </xf>
    <xf numFmtId="0" fontId="46" fillId="0" borderId="90" xfId="1" applyFont="1" applyBorder="1" applyAlignment="1">
      <alignment horizontal="center" shrinkToFit="1"/>
    </xf>
    <xf numFmtId="0" fontId="46" fillId="0" borderId="18" xfId="1" applyFont="1" applyBorder="1" applyAlignment="1">
      <alignment horizontal="center" shrinkToFit="1"/>
    </xf>
    <xf numFmtId="0" fontId="34" fillId="0" borderId="58" xfId="1" applyFont="1" applyBorder="1" applyAlignment="1">
      <alignment horizontal="right"/>
    </xf>
    <xf numFmtId="0" fontId="34" fillId="0" borderId="29" xfId="1" applyFont="1" applyBorder="1" applyAlignment="1">
      <alignment horizontal="right"/>
    </xf>
    <xf numFmtId="0" fontId="34" fillId="0" borderId="55" xfId="1" applyFont="1" applyBorder="1" applyAlignment="1">
      <alignment horizontal="right"/>
    </xf>
    <xf numFmtId="0" fontId="34" fillId="0" borderId="47" xfId="1" applyFont="1" applyBorder="1" applyAlignment="1">
      <alignment horizontal="right"/>
    </xf>
    <xf numFmtId="0" fontId="46" fillId="0" borderId="56" xfId="1" applyFont="1" applyBorder="1" applyAlignment="1">
      <alignment horizontal="center" vertical="center" shrinkToFit="1"/>
    </xf>
    <xf numFmtId="0" fontId="46" fillId="0" borderId="34" xfId="1" applyFont="1" applyBorder="1" applyAlignment="1">
      <alignment horizontal="center" vertical="center" shrinkToFit="1"/>
    </xf>
    <xf numFmtId="0" fontId="46" fillId="0" borderId="90" xfId="1" applyFont="1" applyBorder="1" applyAlignment="1">
      <alignment horizontal="center" vertical="center" shrinkToFit="1"/>
    </xf>
    <xf numFmtId="0" fontId="46" fillId="0" borderId="18" xfId="1" applyFont="1" applyBorder="1" applyAlignment="1">
      <alignment horizontal="center" vertical="center" shrinkToFit="1"/>
    </xf>
    <xf numFmtId="0" fontId="48" fillId="0" borderId="34" xfId="1" applyFont="1" applyBorder="1" applyAlignment="1">
      <alignment horizontal="center" vertical="center" shrinkToFit="1"/>
    </xf>
    <xf numFmtId="0" fontId="48" fillId="0" borderId="43" xfId="1" applyFont="1" applyBorder="1" applyAlignment="1">
      <alignment horizontal="center" vertical="center" shrinkToFit="1"/>
    </xf>
    <xf numFmtId="0" fontId="48" fillId="0" borderId="47" xfId="1" applyFont="1" applyBorder="1" applyAlignment="1">
      <alignment horizontal="center" vertical="center" shrinkToFit="1"/>
    </xf>
    <xf numFmtId="0" fontId="48" fillId="0" borderId="54" xfId="1" applyFont="1" applyBorder="1" applyAlignment="1">
      <alignment horizontal="center" vertical="center" shrinkToFit="1"/>
    </xf>
    <xf numFmtId="9" fontId="57" fillId="11" borderId="7" xfId="3" applyNumberFormat="1" applyFont="1" applyFill="1" applyBorder="1" applyAlignment="1">
      <alignment horizontal="center" vertical="center"/>
    </xf>
    <xf numFmtId="9" fontId="57" fillId="11" borderId="9" xfId="3" applyNumberFormat="1" applyFont="1" applyFill="1" applyBorder="1" applyAlignment="1">
      <alignment horizontal="center" vertical="center"/>
    </xf>
    <xf numFmtId="9" fontId="25" fillId="0" borderId="7" xfId="3" applyNumberFormat="1" applyFont="1" applyBorder="1" applyAlignment="1">
      <alignment horizontal="center" vertical="center"/>
    </xf>
    <xf numFmtId="9" fontId="25" fillId="0" borderId="9" xfId="3" applyNumberFormat="1" applyFont="1" applyBorder="1" applyAlignment="1">
      <alignment horizontal="center" vertical="center"/>
    </xf>
    <xf numFmtId="0" fontId="25" fillId="0" borderId="7" xfId="3" applyFont="1" applyBorder="1" applyAlignment="1">
      <alignment horizontal="center" vertical="center" wrapText="1"/>
    </xf>
    <xf numFmtId="0" fontId="25" fillId="0" borderId="9" xfId="3" applyFont="1" applyBorder="1" applyAlignment="1">
      <alignment horizontal="center" vertical="center" wrapText="1"/>
    </xf>
    <xf numFmtId="0" fontId="12" fillId="0" borderId="7" xfId="3" applyFont="1" applyBorder="1" applyAlignment="1">
      <alignment horizontal="center" vertical="center" wrapText="1"/>
    </xf>
    <xf numFmtId="0" fontId="12" fillId="0" borderId="9" xfId="3" applyFont="1" applyBorder="1" applyAlignment="1">
      <alignment horizontal="center" vertical="center" wrapText="1"/>
    </xf>
    <xf numFmtId="0" fontId="1" fillId="0" borderId="8" xfId="0" applyFont="1" applyBorder="1" applyAlignment="1">
      <alignment horizontal="left" vertical="center" shrinkToFit="1"/>
    </xf>
    <xf numFmtId="0" fontId="1" fillId="0" borderId="52" xfId="0" applyFont="1" applyBorder="1" applyAlignment="1">
      <alignment horizontal="left" vertical="center" shrinkToFit="1"/>
    </xf>
    <xf numFmtId="0" fontId="3" fillId="0" borderId="7" xfId="0" applyFont="1" applyBorder="1" applyAlignment="1">
      <alignment horizontal="center" vertical="center"/>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40" fillId="0" borderId="0" xfId="0" applyFont="1" applyAlignment="1">
      <alignment horizontal="center"/>
    </xf>
    <xf numFmtId="55" fontId="1" fillId="0" borderId="0" xfId="0" applyNumberFormat="1" applyFont="1" applyAlignment="1">
      <alignment horizontal="center"/>
    </xf>
    <xf numFmtId="0" fontId="1" fillId="0" borderId="0" xfId="0" applyFont="1" applyAlignment="1">
      <alignment horizontal="center"/>
    </xf>
    <xf numFmtId="0" fontId="40" fillId="0" borderId="0" xfId="0" applyFont="1" applyAlignment="1">
      <alignment horizontal="center" vertical="center"/>
    </xf>
    <xf numFmtId="0" fontId="3" fillId="0" borderId="34" xfId="0" applyFont="1" applyBorder="1" applyAlignment="1">
      <alignment horizontal="center" vertical="center" shrinkToFit="1"/>
    </xf>
    <xf numFmtId="0" fontId="3" fillId="0" borderId="53" xfId="0" applyFont="1" applyBorder="1" applyAlignment="1">
      <alignment horizontal="center" vertical="center" shrinkToFit="1"/>
    </xf>
  </cellXfs>
  <cellStyles count="4">
    <cellStyle name="パーセント 2" xfId="2" xr:uid="{00000000-0005-0000-0000-000000000000}"/>
    <cellStyle name="標準" xfId="0" builtinId="0"/>
    <cellStyle name="標準 2" xfId="1" xr:uid="{00000000-0005-0000-0000-000002000000}"/>
    <cellStyle name="標準 2_ｱﾘｰﾅ共生点検活動（本店・本部）" xfId="3" xr:uid="{3D5B02AD-C42F-406E-8E8A-59EF2E11E3FC}"/>
  </cellStyles>
  <dxfs count="0"/>
  <tableStyles count="0" defaultTableStyle="TableStyleMedium2" defaultPivotStyle="PivotStyleMedium9"/>
  <colors>
    <mruColors>
      <color rgb="FFFFCCFF"/>
      <color rgb="FFFFFF99"/>
      <color rgb="FF0000FF"/>
      <color rgb="FFFF99FF"/>
      <color rgb="FFFF99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7F62D-26D9-41B8-94F6-FF20EDD4E7E1}">
  <sheetPr>
    <tabColor rgb="FFFF0000"/>
  </sheetPr>
  <dimension ref="A1:T101"/>
  <sheetViews>
    <sheetView showGridLines="0" tabSelected="1" zoomScale="95" zoomScaleNormal="95" workbookViewId="0">
      <selection activeCell="Q9" sqref="Q9"/>
    </sheetView>
  </sheetViews>
  <sheetFormatPr defaultRowHeight="13.2" x14ac:dyDescent="0.2"/>
  <cols>
    <col min="1" max="1" width="9.88671875" style="56" customWidth="1"/>
    <col min="2" max="2" width="3" style="56" bestFit="1" customWidth="1"/>
    <col min="3" max="3" width="4.5546875" style="55" bestFit="1" customWidth="1"/>
    <col min="4" max="4" width="10.77734375" style="56" customWidth="1"/>
    <col min="5" max="5" width="8.77734375" style="56"/>
    <col min="6" max="9" width="8.77734375" style="56" customWidth="1"/>
    <col min="10" max="10" width="8.5546875" style="56" customWidth="1"/>
    <col min="11" max="16" width="11.21875" style="56" customWidth="1"/>
    <col min="17" max="20" width="6.77734375" style="56" customWidth="1"/>
    <col min="21" max="261" width="8.77734375" style="56"/>
    <col min="262" max="262" width="10.77734375" style="56" customWidth="1"/>
    <col min="263" max="270" width="8.77734375" style="56"/>
    <col min="271" max="271" width="9.6640625" style="56" bestFit="1" customWidth="1"/>
    <col min="272" max="517" width="8.77734375" style="56"/>
    <col min="518" max="518" width="10.77734375" style="56" customWidth="1"/>
    <col min="519" max="526" width="8.77734375" style="56"/>
    <col min="527" max="527" width="9.6640625" style="56" bestFit="1" customWidth="1"/>
    <col min="528" max="773" width="8.77734375" style="56"/>
    <col min="774" max="774" width="10.77734375" style="56" customWidth="1"/>
    <col min="775" max="782" width="8.77734375" style="56"/>
    <col min="783" max="783" width="9.6640625" style="56" bestFit="1" customWidth="1"/>
    <col min="784" max="1029" width="8.77734375" style="56"/>
    <col min="1030" max="1030" width="10.77734375" style="56" customWidth="1"/>
    <col min="1031" max="1038" width="8.77734375" style="56"/>
    <col min="1039" max="1039" width="9.6640625" style="56" bestFit="1" customWidth="1"/>
    <col min="1040" max="1285" width="8.77734375" style="56"/>
    <col min="1286" max="1286" width="10.77734375" style="56" customWidth="1"/>
    <col min="1287" max="1294" width="8.77734375" style="56"/>
    <col min="1295" max="1295" width="9.6640625" style="56" bestFit="1" customWidth="1"/>
    <col min="1296" max="1541" width="8.77734375" style="56"/>
    <col min="1542" max="1542" width="10.77734375" style="56" customWidth="1"/>
    <col min="1543" max="1550" width="8.77734375" style="56"/>
    <col min="1551" max="1551" width="9.6640625" style="56" bestFit="1" customWidth="1"/>
    <col min="1552" max="1797" width="8.77734375" style="56"/>
    <col min="1798" max="1798" width="10.77734375" style="56" customWidth="1"/>
    <col min="1799" max="1806" width="8.77734375" style="56"/>
    <col min="1807" max="1807" width="9.6640625" style="56" bestFit="1" customWidth="1"/>
    <col min="1808" max="2053" width="8.77734375" style="56"/>
    <col min="2054" max="2054" width="10.77734375" style="56" customWidth="1"/>
    <col min="2055" max="2062" width="8.77734375" style="56"/>
    <col min="2063" max="2063" width="9.6640625" style="56" bestFit="1" customWidth="1"/>
    <col min="2064" max="2309" width="8.77734375" style="56"/>
    <col min="2310" max="2310" width="10.77734375" style="56" customWidth="1"/>
    <col min="2311" max="2318" width="8.77734375" style="56"/>
    <col min="2319" max="2319" width="9.6640625" style="56" bestFit="1" customWidth="1"/>
    <col min="2320" max="2565" width="8.77734375" style="56"/>
    <col min="2566" max="2566" width="10.77734375" style="56" customWidth="1"/>
    <col min="2567" max="2574" width="8.77734375" style="56"/>
    <col min="2575" max="2575" width="9.6640625" style="56" bestFit="1" customWidth="1"/>
    <col min="2576" max="2821" width="8.77734375" style="56"/>
    <col min="2822" max="2822" width="10.77734375" style="56" customWidth="1"/>
    <col min="2823" max="2830" width="8.77734375" style="56"/>
    <col min="2831" max="2831" width="9.6640625" style="56" bestFit="1" customWidth="1"/>
    <col min="2832" max="3077" width="8.77734375" style="56"/>
    <col min="3078" max="3078" width="10.77734375" style="56" customWidth="1"/>
    <col min="3079" max="3086" width="8.77734375" style="56"/>
    <col min="3087" max="3087" width="9.6640625" style="56" bestFit="1" customWidth="1"/>
    <col min="3088" max="3333" width="8.77734375" style="56"/>
    <col min="3334" max="3334" width="10.77734375" style="56" customWidth="1"/>
    <col min="3335" max="3342" width="8.77734375" style="56"/>
    <col min="3343" max="3343" width="9.6640625" style="56" bestFit="1" customWidth="1"/>
    <col min="3344" max="3589" width="8.77734375" style="56"/>
    <col min="3590" max="3590" width="10.77734375" style="56" customWidth="1"/>
    <col min="3591" max="3598" width="8.77734375" style="56"/>
    <col min="3599" max="3599" width="9.6640625" style="56" bestFit="1" customWidth="1"/>
    <col min="3600" max="3845" width="8.77734375" style="56"/>
    <col min="3846" max="3846" width="10.77734375" style="56" customWidth="1"/>
    <col min="3847" max="3854" width="8.77734375" style="56"/>
    <col min="3855" max="3855" width="9.6640625" style="56" bestFit="1" customWidth="1"/>
    <col min="3856" max="4101" width="8.77734375" style="56"/>
    <col min="4102" max="4102" width="10.77734375" style="56" customWidth="1"/>
    <col min="4103" max="4110" width="8.77734375" style="56"/>
    <col min="4111" max="4111" width="9.6640625" style="56" bestFit="1" customWidth="1"/>
    <col min="4112" max="4357" width="8.77734375" style="56"/>
    <col min="4358" max="4358" width="10.77734375" style="56" customWidth="1"/>
    <col min="4359" max="4366" width="8.77734375" style="56"/>
    <col min="4367" max="4367" width="9.6640625" style="56" bestFit="1" customWidth="1"/>
    <col min="4368" max="4613" width="8.77734375" style="56"/>
    <col min="4614" max="4614" width="10.77734375" style="56" customWidth="1"/>
    <col min="4615" max="4622" width="8.77734375" style="56"/>
    <col min="4623" max="4623" width="9.6640625" style="56" bestFit="1" customWidth="1"/>
    <col min="4624" max="4869" width="8.77734375" style="56"/>
    <col min="4870" max="4870" width="10.77734375" style="56" customWidth="1"/>
    <col min="4871" max="4878" width="8.77734375" style="56"/>
    <col min="4879" max="4879" width="9.6640625" style="56" bestFit="1" customWidth="1"/>
    <col min="4880" max="5125" width="8.77734375" style="56"/>
    <col min="5126" max="5126" width="10.77734375" style="56" customWidth="1"/>
    <col min="5127" max="5134" width="8.77734375" style="56"/>
    <col min="5135" max="5135" width="9.6640625" style="56" bestFit="1" customWidth="1"/>
    <col min="5136" max="5381" width="8.77734375" style="56"/>
    <col min="5382" max="5382" width="10.77734375" style="56" customWidth="1"/>
    <col min="5383" max="5390" width="8.77734375" style="56"/>
    <col min="5391" max="5391" width="9.6640625" style="56" bestFit="1" customWidth="1"/>
    <col min="5392" max="5637" width="8.77734375" style="56"/>
    <col min="5638" max="5638" width="10.77734375" style="56" customWidth="1"/>
    <col min="5639" max="5646" width="8.77734375" style="56"/>
    <col min="5647" max="5647" width="9.6640625" style="56" bestFit="1" customWidth="1"/>
    <col min="5648" max="5893" width="8.77734375" style="56"/>
    <col min="5894" max="5894" width="10.77734375" style="56" customWidth="1"/>
    <col min="5895" max="5902" width="8.77734375" style="56"/>
    <col min="5903" max="5903" width="9.6640625" style="56" bestFit="1" customWidth="1"/>
    <col min="5904" max="6149" width="8.77734375" style="56"/>
    <col min="6150" max="6150" width="10.77734375" style="56" customWidth="1"/>
    <col min="6151" max="6158" width="8.77734375" style="56"/>
    <col min="6159" max="6159" width="9.6640625" style="56" bestFit="1" customWidth="1"/>
    <col min="6160" max="6405" width="8.77734375" style="56"/>
    <col min="6406" max="6406" width="10.77734375" style="56" customWidth="1"/>
    <col min="6407" max="6414" width="8.77734375" style="56"/>
    <col min="6415" max="6415" width="9.6640625" style="56" bestFit="1" customWidth="1"/>
    <col min="6416" max="6661" width="8.77734375" style="56"/>
    <col min="6662" max="6662" width="10.77734375" style="56" customWidth="1"/>
    <col min="6663" max="6670" width="8.77734375" style="56"/>
    <col min="6671" max="6671" width="9.6640625" style="56" bestFit="1" customWidth="1"/>
    <col min="6672" max="6917" width="8.77734375" style="56"/>
    <col min="6918" max="6918" width="10.77734375" style="56" customWidth="1"/>
    <col min="6919" max="6926" width="8.77734375" style="56"/>
    <col min="6927" max="6927" width="9.6640625" style="56" bestFit="1" customWidth="1"/>
    <col min="6928" max="7173" width="8.77734375" style="56"/>
    <col min="7174" max="7174" width="10.77734375" style="56" customWidth="1"/>
    <col min="7175" max="7182" width="8.77734375" style="56"/>
    <col min="7183" max="7183" width="9.6640625" style="56" bestFit="1" customWidth="1"/>
    <col min="7184" max="7429" width="8.77734375" style="56"/>
    <col min="7430" max="7430" width="10.77734375" style="56" customWidth="1"/>
    <col min="7431" max="7438" width="8.77734375" style="56"/>
    <col min="7439" max="7439" width="9.6640625" style="56" bestFit="1" customWidth="1"/>
    <col min="7440" max="7685" width="8.77734375" style="56"/>
    <col min="7686" max="7686" width="10.77734375" style="56" customWidth="1"/>
    <col min="7687" max="7694" width="8.77734375" style="56"/>
    <col min="7695" max="7695" width="9.6640625" style="56" bestFit="1" customWidth="1"/>
    <col min="7696" max="7941" width="8.77734375" style="56"/>
    <col min="7942" max="7942" width="10.77734375" style="56" customWidth="1"/>
    <col min="7943" max="7950" width="8.77734375" style="56"/>
    <col min="7951" max="7951" width="9.6640625" style="56" bestFit="1" customWidth="1"/>
    <col min="7952" max="8197" width="8.77734375" style="56"/>
    <col min="8198" max="8198" width="10.77734375" style="56" customWidth="1"/>
    <col min="8199" max="8206" width="8.77734375" style="56"/>
    <col min="8207" max="8207" width="9.6640625" style="56" bestFit="1" customWidth="1"/>
    <col min="8208" max="8453" width="8.77734375" style="56"/>
    <col min="8454" max="8454" width="10.77734375" style="56" customWidth="1"/>
    <col min="8455" max="8462" width="8.77734375" style="56"/>
    <col min="8463" max="8463" width="9.6640625" style="56" bestFit="1" customWidth="1"/>
    <col min="8464" max="8709" width="8.77734375" style="56"/>
    <col min="8710" max="8710" width="10.77734375" style="56" customWidth="1"/>
    <col min="8711" max="8718" width="8.77734375" style="56"/>
    <col min="8719" max="8719" width="9.6640625" style="56" bestFit="1" customWidth="1"/>
    <col min="8720" max="8965" width="8.77734375" style="56"/>
    <col min="8966" max="8966" width="10.77734375" style="56" customWidth="1"/>
    <col min="8967" max="8974" width="8.77734375" style="56"/>
    <col min="8975" max="8975" width="9.6640625" style="56" bestFit="1" customWidth="1"/>
    <col min="8976" max="9221" width="8.77734375" style="56"/>
    <col min="9222" max="9222" width="10.77734375" style="56" customWidth="1"/>
    <col min="9223" max="9230" width="8.77734375" style="56"/>
    <col min="9231" max="9231" width="9.6640625" style="56" bestFit="1" customWidth="1"/>
    <col min="9232" max="9477" width="8.77734375" style="56"/>
    <col min="9478" max="9478" width="10.77734375" style="56" customWidth="1"/>
    <col min="9479" max="9486" width="8.77734375" style="56"/>
    <col min="9487" max="9487" width="9.6640625" style="56" bestFit="1" customWidth="1"/>
    <col min="9488" max="9733" width="8.77734375" style="56"/>
    <col min="9734" max="9734" width="10.77734375" style="56" customWidth="1"/>
    <col min="9735" max="9742" width="8.77734375" style="56"/>
    <col min="9743" max="9743" width="9.6640625" style="56" bestFit="1" customWidth="1"/>
    <col min="9744" max="9989" width="8.77734375" style="56"/>
    <col min="9990" max="9990" width="10.77734375" style="56" customWidth="1"/>
    <col min="9991" max="9998" width="8.77734375" style="56"/>
    <col min="9999" max="9999" width="9.6640625" style="56" bestFit="1" customWidth="1"/>
    <col min="10000" max="10245" width="8.77734375" style="56"/>
    <col min="10246" max="10246" width="10.77734375" style="56" customWidth="1"/>
    <col min="10247" max="10254" width="8.77734375" style="56"/>
    <col min="10255" max="10255" width="9.6640625" style="56" bestFit="1" customWidth="1"/>
    <col min="10256" max="10501" width="8.77734375" style="56"/>
    <col min="10502" max="10502" width="10.77734375" style="56" customWidth="1"/>
    <col min="10503" max="10510" width="8.77734375" style="56"/>
    <col min="10511" max="10511" width="9.6640625" style="56" bestFit="1" customWidth="1"/>
    <col min="10512" max="10757" width="8.77734375" style="56"/>
    <col min="10758" max="10758" width="10.77734375" style="56" customWidth="1"/>
    <col min="10759" max="10766" width="8.77734375" style="56"/>
    <col min="10767" max="10767" width="9.6640625" style="56" bestFit="1" customWidth="1"/>
    <col min="10768" max="11013" width="8.77734375" style="56"/>
    <col min="11014" max="11014" width="10.77734375" style="56" customWidth="1"/>
    <col min="11015" max="11022" width="8.77734375" style="56"/>
    <col min="11023" max="11023" width="9.6640625" style="56" bestFit="1" customWidth="1"/>
    <col min="11024" max="11269" width="8.77734375" style="56"/>
    <col min="11270" max="11270" width="10.77734375" style="56" customWidth="1"/>
    <col min="11271" max="11278" width="8.77734375" style="56"/>
    <col min="11279" max="11279" width="9.6640625" style="56" bestFit="1" customWidth="1"/>
    <col min="11280" max="11525" width="8.77734375" style="56"/>
    <col min="11526" max="11526" width="10.77734375" style="56" customWidth="1"/>
    <col min="11527" max="11534" width="8.77734375" style="56"/>
    <col min="11535" max="11535" width="9.6640625" style="56" bestFit="1" customWidth="1"/>
    <col min="11536" max="11781" width="8.77734375" style="56"/>
    <col min="11782" max="11782" width="10.77734375" style="56" customWidth="1"/>
    <col min="11783" max="11790" width="8.77734375" style="56"/>
    <col min="11791" max="11791" width="9.6640625" style="56" bestFit="1" customWidth="1"/>
    <col min="11792" max="12037" width="8.77734375" style="56"/>
    <col min="12038" max="12038" width="10.77734375" style="56" customWidth="1"/>
    <col min="12039" max="12046" width="8.77734375" style="56"/>
    <col min="12047" max="12047" width="9.6640625" style="56" bestFit="1" customWidth="1"/>
    <col min="12048" max="12293" width="8.77734375" style="56"/>
    <col min="12294" max="12294" width="10.77734375" style="56" customWidth="1"/>
    <col min="12295" max="12302" width="8.77734375" style="56"/>
    <col min="12303" max="12303" width="9.6640625" style="56" bestFit="1" customWidth="1"/>
    <col min="12304" max="12549" width="8.77734375" style="56"/>
    <col min="12550" max="12550" width="10.77734375" style="56" customWidth="1"/>
    <col min="12551" max="12558" width="8.77734375" style="56"/>
    <col min="12559" max="12559" width="9.6640625" style="56" bestFit="1" customWidth="1"/>
    <col min="12560" max="12805" width="8.77734375" style="56"/>
    <col min="12806" max="12806" width="10.77734375" style="56" customWidth="1"/>
    <col min="12807" max="12814" width="8.77734375" style="56"/>
    <col min="12815" max="12815" width="9.6640625" style="56" bestFit="1" customWidth="1"/>
    <col min="12816" max="13061" width="8.77734375" style="56"/>
    <col min="13062" max="13062" width="10.77734375" style="56" customWidth="1"/>
    <col min="13063" max="13070" width="8.77734375" style="56"/>
    <col min="13071" max="13071" width="9.6640625" style="56" bestFit="1" customWidth="1"/>
    <col min="13072" max="13317" width="8.77734375" style="56"/>
    <col min="13318" max="13318" width="10.77734375" style="56" customWidth="1"/>
    <col min="13319" max="13326" width="8.77734375" style="56"/>
    <col min="13327" max="13327" width="9.6640625" style="56" bestFit="1" customWidth="1"/>
    <col min="13328" max="13573" width="8.77734375" style="56"/>
    <col min="13574" max="13574" width="10.77734375" style="56" customWidth="1"/>
    <col min="13575" max="13582" width="8.77734375" style="56"/>
    <col min="13583" max="13583" width="9.6640625" style="56" bestFit="1" customWidth="1"/>
    <col min="13584" max="13829" width="8.77734375" style="56"/>
    <col min="13830" max="13830" width="10.77734375" style="56" customWidth="1"/>
    <col min="13831" max="13838" width="8.77734375" style="56"/>
    <col min="13839" max="13839" width="9.6640625" style="56" bestFit="1" customWidth="1"/>
    <col min="13840" max="14085" width="8.77734375" style="56"/>
    <col min="14086" max="14086" width="10.77734375" style="56" customWidth="1"/>
    <col min="14087" max="14094" width="8.77734375" style="56"/>
    <col min="14095" max="14095" width="9.6640625" style="56" bestFit="1" customWidth="1"/>
    <col min="14096" max="14341" width="8.77734375" style="56"/>
    <col min="14342" max="14342" width="10.77734375" style="56" customWidth="1"/>
    <col min="14343" max="14350" width="8.77734375" style="56"/>
    <col min="14351" max="14351" width="9.6640625" style="56" bestFit="1" customWidth="1"/>
    <col min="14352" max="14597" width="8.77734375" style="56"/>
    <col min="14598" max="14598" width="10.77734375" style="56" customWidth="1"/>
    <col min="14599" max="14606" width="8.77734375" style="56"/>
    <col min="14607" max="14607" width="9.6640625" style="56" bestFit="1" customWidth="1"/>
    <col min="14608" max="14853" width="8.77734375" style="56"/>
    <col min="14854" max="14854" width="10.77734375" style="56" customWidth="1"/>
    <col min="14855" max="14862" width="8.77734375" style="56"/>
    <col min="14863" max="14863" width="9.6640625" style="56" bestFit="1" customWidth="1"/>
    <col min="14864" max="15109" width="8.77734375" style="56"/>
    <col min="15110" max="15110" width="10.77734375" style="56" customWidth="1"/>
    <col min="15111" max="15118" width="8.77734375" style="56"/>
    <col min="15119" max="15119" width="9.6640625" style="56" bestFit="1" customWidth="1"/>
    <col min="15120" max="15365" width="8.77734375" style="56"/>
    <col min="15366" max="15366" width="10.77734375" style="56" customWidth="1"/>
    <col min="15367" max="15374" width="8.77734375" style="56"/>
    <col min="15375" max="15375" width="9.6640625" style="56" bestFit="1" customWidth="1"/>
    <col min="15376" max="15621" width="8.77734375" style="56"/>
    <col min="15622" max="15622" width="10.77734375" style="56" customWidth="1"/>
    <col min="15623" max="15630" width="8.77734375" style="56"/>
    <col min="15631" max="15631" width="9.6640625" style="56" bestFit="1" customWidth="1"/>
    <col min="15632" max="15877" width="8.77734375" style="56"/>
    <col min="15878" max="15878" width="10.77734375" style="56" customWidth="1"/>
    <col min="15879" max="15886" width="8.77734375" style="56"/>
    <col min="15887" max="15887" width="9.6640625" style="56" bestFit="1" customWidth="1"/>
    <col min="15888" max="16133" width="8.77734375" style="56"/>
    <col min="16134" max="16134" width="10.77734375" style="56" customWidth="1"/>
    <col min="16135" max="16142" width="8.77734375" style="56"/>
    <col min="16143" max="16143" width="9.6640625" style="56" bestFit="1" customWidth="1"/>
    <col min="16144" max="16384" width="8.77734375" style="56"/>
  </cols>
  <sheetData>
    <row r="1" spans="1:20" ht="21" x14ac:dyDescent="0.2">
      <c r="E1" s="56" t="s">
        <v>261</v>
      </c>
      <c r="G1" s="91" t="s">
        <v>280</v>
      </c>
      <c r="H1" s="92"/>
      <c r="I1" s="92"/>
      <c r="K1" s="91" t="s">
        <v>136</v>
      </c>
      <c r="L1" s="92"/>
      <c r="M1" s="92"/>
      <c r="N1" s="92"/>
      <c r="P1" s="56" t="s">
        <v>248</v>
      </c>
    </row>
    <row r="2" spans="1:20" ht="13.5" customHeight="1" x14ac:dyDescent="0.2"/>
    <row r="3" spans="1:20" ht="17.55" customHeight="1" x14ac:dyDescent="0.2">
      <c r="A3" s="347" t="s">
        <v>0</v>
      </c>
      <c r="B3" s="347"/>
      <c r="C3" s="93" t="s">
        <v>279</v>
      </c>
      <c r="E3" s="93"/>
      <c r="F3" s="93"/>
      <c r="H3" s="94" t="s">
        <v>146</v>
      </c>
      <c r="I3" s="348"/>
      <c r="J3" s="348"/>
      <c r="K3" s="93" t="s">
        <v>1</v>
      </c>
      <c r="L3" s="93"/>
      <c r="M3" s="94" t="s">
        <v>2</v>
      </c>
      <c r="N3" s="338"/>
      <c r="O3" s="339"/>
      <c r="P3" s="338"/>
      <c r="Q3" s="339"/>
      <c r="T3" s="95"/>
    </row>
    <row r="4" spans="1:20" ht="17.55" customHeight="1" x14ac:dyDescent="0.2">
      <c r="M4" s="94"/>
      <c r="N4" s="340" t="s">
        <v>147</v>
      </c>
      <c r="O4" s="340"/>
      <c r="P4" s="340" t="s">
        <v>148</v>
      </c>
      <c r="Q4" s="340"/>
    </row>
    <row r="5" spans="1:20" ht="17.55" customHeight="1" x14ac:dyDescent="0.2">
      <c r="D5" s="96"/>
      <c r="E5" s="55"/>
      <c r="N5" s="97" t="s">
        <v>228</v>
      </c>
      <c r="O5" s="93"/>
      <c r="P5" s="93"/>
    </row>
    <row r="6" spans="1:20" ht="15" customHeight="1" x14ac:dyDescent="0.2">
      <c r="A6" s="55" t="s">
        <v>3</v>
      </c>
      <c r="B6" s="55"/>
      <c r="D6" s="98" t="s">
        <v>149</v>
      </c>
      <c r="E6" s="55"/>
      <c r="F6" s="362" t="s">
        <v>249</v>
      </c>
      <c r="G6" s="362"/>
      <c r="H6" s="362"/>
      <c r="I6" s="362"/>
      <c r="J6" s="362"/>
      <c r="K6" s="362"/>
      <c r="L6" s="362"/>
      <c r="M6" s="362"/>
      <c r="N6" s="362"/>
      <c r="O6" s="362"/>
      <c r="P6" s="361" t="s">
        <v>4</v>
      </c>
      <c r="Q6" s="361"/>
      <c r="R6" s="55"/>
      <c r="S6" s="55"/>
    </row>
    <row r="7" spans="1:20" s="102" customFormat="1" ht="18.45" customHeight="1" x14ac:dyDescent="0.2">
      <c r="A7" s="385">
        <f>N3</f>
        <v>0</v>
      </c>
      <c r="B7" s="341" t="s">
        <v>151</v>
      </c>
      <c r="C7" s="88">
        <v>1</v>
      </c>
      <c r="D7" s="344" t="s">
        <v>152</v>
      </c>
      <c r="E7" s="345"/>
      <c r="F7" s="345"/>
      <c r="G7" s="345"/>
      <c r="H7" s="345"/>
      <c r="I7" s="345"/>
      <c r="J7" s="345"/>
      <c r="K7" s="345"/>
      <c r="L7" s="345"/>
      <c r="M7" s="346"/>
      <c r="N7" s="89"/>
      <c r="O7" s="175"/>
      <c r="P7" s="100"/>
      <c r="Q7" s="100"/>
      <c r="R7" s="100"/>
      <c r="S7" s="100"/>
      <c r="T7" s="101"/>
    </row>
    <row r="8" spans="1:20" s="102" customFormat="1" ht="18.45" customHeight="1" x14ac:dyDescent="0.2">
      <c r="A8" s="386"/>
      <c r="B8" s="342"/>
      <c r="C8" s="88">
        <v>2</v>
      </c>
      <c r="D8" s="103" t="s">
        <v>153</v>
      </c>
      <c r="E8" s="104"/>
      <c r="F8" s="104"/>
      <c r="G8" s="104"/>
      <c r="H8" s="105"/>
      <c r="I8" s="105"/>
      <c r="J8" s="106"/>
      <c r="K8" s="105"/>
      <c r="L8" s="107"/>
      <c r="M8" s="107"/>
      <c r="N8" s="89"/>
      <c r="O8" s="108"/>
      <c r="P8" s="109"/>
      <c r="Q8" s="109"/>
      <c r="R8" s="109"/>
      <c r="S8" s="109"/>
      <c r="T8" s="110"/>
    </row>
    <row r="9" spans="1:20" s="102" customFormat="1" ht="18.45" customHeight="1" x14ac:dyDescent="0.2">
      <c r="A9" s="386"/>
      <c r="B9" s="342"/>
      <c r="C9" s="88">
        <v>3</v>
      </c>
      <c r="D9" s="355" t="s">
        <v>240</v>
      </c>
      <c r="E9" s="356"/>
      <c r="F9" s="356"/>
      <c r="G9" s="356"/>
      <c r="H9" s="356"/>
      <c r="I9" s="356"/>
      <c r="J9" s="356"/>
      <c r="K9" s="356"/>
      <c r="L9" s="356"/>
      <c r="M9" s="357"/>
      <c r="N9" s="310"/>
      <c r="O9" s="108"/>
      <c r="P9" s="109"/>
      <c r="Q9" s="109"/>
      <c r="R9" s="109"/>
      <c r="S9" s="109"/>
      <c r="T9" s="110"/>
    </row>
    <row r="10" spans="1:20" s="102" customFormat="1" ht="18.45" customHeight="1" x14ac:dyDescent="0.2">
      <c r="A10" s="386"/>
      <c r="B10" s="342"/>
      <c r="C10" s="88">
        <v>4</v>
      </c>
      <c r="D10" s="358" t="s">
        <v>154</v>
      </c>
      <c r="E10" s="359"/>
      <c r="F10" s="359"/>
      <c r="G10" s="359"/>
      <c r="H10" s="359"/>
      <c r="I10" s="359"/>
      <c r="J10" s="359"/>
      <c r="K10" s="359"/>
      <c r="L10" s="359"/>
      <c r="M10" s="360"/>
      <c r="N10" s="89"/>
      <c r="O10" s="108"/>
      <c r="P10" s="109"/>
      <c r="Q10" s="109"/>
      <c r="R10" s="109"/>
      <c r="S10" s="109"/>
      <c r="T10" s="110"/>
    </row>
    <row r="11" spans="1:20" s="102" customFormat="1" ht="18.45" customHeight="1" x14ac:dyDescent="0.2">
      <c r="A11" s="386"/>
      <c r="B11" s="342"/>
      <c r="C11" s="88">
        <v>5</v>
      </c>
      <c r="D11" s="358" t="s">
        <v>260</v>
      </c>
      <c r="E11" s="359"/>
      <c r="F11" s="359"/>
      <c r="G11" s="359"/>
      <c r="H11" s="359"/>
      <c r="I11" s="359"/>
      <c r="J11" s="359"/>
      <c r="K11" s="359"/>
      <c r="L11" s="359"/>
      <c r="M11" s="360"/>
      <c r="N11" s="89"/>
      <c r="O11" s="108"/>
      <c r="P11" s="109"/>
      <c r="Q11" s="109"/>
      <c r="R11" s="109"/>
      <c r="S11" s="109"/>
      <c r="T11" s="110"/>
    </row>
    <row r="12" spans="1:20" s="102" customFormat="1" ht="18.45" customHeight="1" x14ac:dyDescent="0.2">
      <c r="A12" s="386"/>
      <c r="B12" s="343"/>
      <c r="C12" s="88">
        <v>6</v>
      </c>
      <c r="D12" s="254" t="s">
        <v>243</v>
      </c>
      <c r="E12" s="255"/>
      <c r="F12" s="255"/>
      <c r="G12" s="255"/>
      <c r="H12" s="255"/>
      <c r="I12" s="256"/>
      <c r="J12" s="257"/>
      <c r="K12" s="255"/>
      <c r="L12" s="255"/>
      <c r="M12" s="258"/>
      <c r="N12" s="310"/>
      <c r="O12" s="116"/>
      <c r="P12" s="117"/>
      <c r="Q12" s="118"/>
      <c r="R12" s="118"/>
      <c r="S12" s="118"/>
      <c r="T12" s="119"/>
    </row>
    <row r="13" spans="1:20" s="102" customFormat="1" ht="18.45" customHeight="1" x14ac:dyDescent="0.2">
      <c r="A13" s="386"/>
      <c r="B13" s="363" t="s">
        <v>155</v>
      </c>
      <c r="C13" s="88">
        <v>7</v>
      </c>
      <c r="D13" s="111" t="s">
        <v>259</v>
      </c>
      <c r="E13" s="104"/>
      <c r="F13" s="104"/>
      <c r="G13" s="104"/>
      <c r="H13" s="104"/>
      <c r="I13" s="105"/>
      <c r="J13" s="106"/>
      <c r="K13" s="104"/>
      <c r="L13" s="107"/>
      <c r="M13" s="107"/>
      <c r="N13" s="89"/>
      <c r="O13" s="120"/>
      <c r="P13" s="121"/>
      <c r="Q13" s="121"/>
      <c r="R13" s="121"/>
      <c r="S13" s="121"/>
      <c r="T13" s="122"/>
    </row>
    <row r="14" spans="1:20" s="102" customFormat="1" ht="18.45" customHeight="1" x14ac:dyDescent="0.2">
      <c r="A14" s="386"/>
      <c r="B14" s="364"/>
      <c r="C14" s="88">
        <v>8</v>
      </c>
      <c r="D14" s="355" t="s">
        <v>244</v>
      </c>
      <c r="E14" s="356"/>
      <c r="F14" s="356"/>
      <c r="G14" s="356"/>
      <c r="H14" s="356"/>
      <c r="I14" s="356"/>
      <c r="J14" s="356"/>
      <c r="K14" s="356"/>
      <c r="L14" s="356"/>
      <c r="M14" s="357"/>
      <c r="N14" s="310"/>
      <c r="O14" s="120"/>
      <c r="P14" s="121"/>
      <c r="Q14" s="121"/>
      <c r="R14" s="121"/>
      <c r="S14" s="121"/>
      <c r="T14" s="122"/>
    </row>
    <row r="15" spans="1:20" s="102" customFormat="1" ht="18.45" customHeight="1" x14ac:dyDescent="0.2">
      <c r="A15" s="386"/>
      <c r="B15" s="364"/>
      <c r="C15" s="88">
        <v>9</v>
      </c>
      <c r="D15" s="358" t="s">
        <v>156</v>
      </c>
      <c r="E15" s="359"/>
      <c r="F15" s="359"/>
      <c r="G15" s="359"/>
      <c r="H15" s="359"/>
      <c r="I15" s="359"/>
      <c r="J15" s="359"/>
      <c r="K15" s="359"/>
      <c r="L15" s="359"/>
      <c r="M15" s="360"/>
      <c r="N15" s="89"/>
      <c r="O15" s="123"/>
      <c r="P15" s="124"/>
      <c r="Q15" s="124"/>
      <c r="R15" s="124"/>
      <c r="S15" s="124"/>
      <c r="T15" s="125"/>
    </row>
    <row r="16" spans="1:20" s="102" customFormat="1" ht="18.45" customHeight="1" x14ac:dyDescent="0.2">
      <c r="A16" s="386"/>
      <c r="B16" s="364"/>
      <c r="C16" s="88">
        <v>10</v>
      </c>
      <c r="D16" s="111" t="s">
        <v>157</v>
      </c>
      <c r="E16" s="104"/>
      <c r="F16" s="104"/>
      <c r="G16" s="104"/>
      <c r="H16" s="104"/>
      <c r="I16" s="104"/>
      <c r="J16" s="106"/>
      <c r="K16" s="104"/>
      <c r="L16" s="104"/>
      <c r="M16" s="129"/>
      <c r="N16" s="89"/>
      <c r="O16" s="123"/>
      <c r="P16" s="124"/>
      <c r="Q16" s="124"/>
      <c r="R16" s="124"/>
      <c r="S16" s="124"/>
      <c r="T16" s="125"/>
    </row>
    <row r="17" spans="1:20" s="102" customFormat="1" ht="18.45" customHeight="1" x14ac:dyDescent="0.2">
      <c r="A17" s="386"/>
      <c r="B17" s="364"/>
      <c r="C17" s="88">
        <v>11</v>
      </c>
      <c r="D17" s="111" t="s">
        <v>158</v>
      </c>
      <c r="E17" s="104"/>
      <c r="F17" s="104"/>
      <c r="G17" s="104"/>
      <c r="H17" s="104"/>
      <c r="I17" s="105"/>
      <c r="J17" s="106"/>
      <c r="K17" s="104"/>
      <c r="L17" s="104"/>
      <c r="M17" s="129"/>
      <c r="N17" s="89"/>
      <c r="O17" s="123"/>
      <c r="P17" s="124"/>
      <c r="Q17" s="124"/>
      <c r="R17" s="124"/>
      <c r="S17" s="124"/>
      <c r="T17" s="125"/>
    </row>
    <row r="18" spans="1:20" s="102" customFormat="1" ht="18.45" customHeight="1" x14ac:dyDescent="0.2">
      <c r="A18" s="386"/>
      <c r="B18" s="365"/>
      <c r="C18" s="88">
        <v>12</v>
      </c>
      <c r="D18" s="111" t="s">
        <v>159</v>
      </c>
      <c r="E18" s="104"/>
      <c r="F18" s="104"/>
      <c r="G18" s="104"/>
      <c r="H18" s="104"/>
      <c r="I18" s="112"/>
      <c r="J18" s="130"/>
      <c r="K18" s="104"/>
      <c r="L18" s="104"/>
      <c r="M18" s="129"/>
      <c r="N18" s="89"/>
      <c r="O18" s="123"/>
      <c r="P18" s="124"/>
      <c r="Q18" s="124"/>
      <c r="R18" s="124"/>
      <c r="S18" s="124"/>
      <c r="T18" s="125"/>
    </row>
    <row r="19" spans="1:20" s="102" customFormat="1" ht="18.45" customHeight="1" x14ac:dyDescent="0.2">
      <c r="A19" s="386"/>
      <c r="B19" s="341" t="s">
        <v>160</v>
      </c>
      <c r="C19" s="88">
        <v>13</v>
      </c>
      <c r="D19" s="111" t="s">
        <v>161</v>
      </c>
      <c r="E19" s="104"/>
      <c r="F19" s="104"/>
      <c r="G19" s="104"/>
      <c r="H19" s="104"/>
      <c r="I19" s="105"/>
      <c r="J19" s="106"/>
      <c r="K19" s="104"/>
      <c r="L19" s="107"/>
      <c r="M19" s="107"/>
      <c r="N19" s="89"/>
      <c r="O19" s="120"/>
      <c r="P19" s="121"/>
      <c r="Q19" s="121"/>
      <c r="R19" s="121"/>
      <c r="S19" s="121"/>
      <c r="T19" s="122"/>
    </row>
    <row r="20" spans="1:20" s="102" customFormat="1" ht="18.45" customHeight="1" x14ac:dyDescent="0.2">
      <c r="A20" s="386"/>
      <c r="B20" s="342"/>
      <c r="C20" s="88">
        <v>14</v>
      </c>
      <c r="D20" s="111" t="s">
        <v>162</v>
      </c>
      <c r="E20" s="104"/>
      <c r="F20" s="104"/>
      <c r="G20" s="104"/>
      <c r="H20" s="104"/>
      <c r="I20" s="112"/>
      <c r="J20" s="131"/>
      <c r="K20" s="104"/>
      <c r="L20" s="107"/>
      <c r="M20" s="107"/>
      <c r="N20" s="89"/>
      <c r="O20" s="120"/>
      <c r="P20" s="121"/>
      <c r="Q20" s="121"/>
      <c r="R20" s="121"/>
      <c r="S20" s="121"/>
      <c r="T20" s="122"/>
    </row>
    <row r="21" spans="1:20" s="102" customFormat="1" ht="18.45" customHeight="1" x14ac:dyDescent="0.2">
      <c r="A21" s="386"/>
      <c r="B21" s="342"/>
      <c r="C21" s="88">
        <v>15</v>
      </c>
      <c r="D21" s="344" t="s">
        <v>163</v>
      </c>
      <c r="E21" s="345"/>
      <c r="F21" s="345"/>
      <c r="G21" s="345"/>
      <c r="H21" s="345"/>
      <c r="I21" s="345"/>
      <c r="J21" s="345"/>
      <c r="K21" s="345"/>
      <c r="L21" s="345"/>
      <c r="M21" s="346"/>
      <c r="N21" s="89"/>
      <c r="O21" s="120"/>
      <c r="P21" s="121"/>
      <c r="Q21" s="121"/>
      <c r="R21" s="121"/>
      <c r="S21" s="121"/>
      <c r="T21" s="122"/>
    </row>
    <row r="22" spans="1:20" s="102" customFormat="1" ht="18.45" customHeight="1" x14ac:dyDescent="0.2">
      <c r="A22" s="386"/>
      <c r="B22" s="342"/>
      <c r="C22" s="88">
        <v>16</v>
      </c>
      <c r="D22" s="114" t="s">
        <v>241</v>
      </c>
      <c r="E22" s="104"/>
      <c r="F22" s="104"/>
      <c r="G22" s="104"/>
      <c r="H22" s="104"/>
      <c r="I22" s="112"/>
      <c r="J22" s="132"/>
      <c r="K22" s="104"/>
      <c r="L22" s="107"/>
      <c r="M22" s="107"/>
      <c r="N22" s="89"/>
      <c r="O22" s="123"/>
      <c r="P22" s="124"/>
      <c r="Q22" s="124"/>
      <c r="R22" s="124"/>
      <c r="S22" s="124"/>
      <c r="T22" s="125"/>
    </row>
    <row r="23" spans="1:20" s="102" customFormat="1" ht="18.45" customHeight="1" x14ac:dyDescent="0.2">
      <c r="A23" s="386"/>
      <c r="B23" s="342"/>
      <c r="C23" s="88">
        <v>17</v>
      </c>
      <c r="D23" s="355" t="s">
        <v>242</v>
      </c>
      <c r="E23" s="356"/>
      <c r="F23" s="356"/>
      <c r="G23" s="356"/>
      <c r="H23" s="356"/>
      <c r="I23" s="356"/>
      <c r="J23" s="356"/>
      <c r="K23" s="356"/>
      <c r="L23" s="356"/>
      <c r="M23" s="357"/>
      <c r="N23" s="310"/>
      <c r="O23" s="123"/>
      <c r="P23" s="124"/>
      <c r="Q23" s="124"/>
      <c r="R23" s="124"/>
      <c r="S23" s="124"/>
      <c r="T23" s="125"/>
    </row>
    <row r="24" spans="1:20" s="102" customFormat="1" ht="18.45" customHeight="1" x14ac:dyDescent="0.2">
      <c r="A24" s="386"/>
      <c r="B24" s="342"/>
      <c r="C24" s="88">
        <v>18</v>
      </c>
      <c r="D24" s="344" t="s">
        <v>233</v>
      </c>
      <c r="E24" s="345"/>
      <c r="F24" s="345"/>
      <c r="G24" s="345"/>
      <c r="H24" s="345"/>
      <c r="I24" s="345"/>
      <c r="J24" s="345"/>
      <c r="K24" s="345"/>
      <c r="L24" s="345"/>
      <c r="M24" s="346"/>
      <c r="N24" s="89"/>
      <c r="O24" s="133"/>
      <c r="P24" s="124"/>
      <c r="Q24" s="124"/>
      <c r="R24" s="124"/>
      <c r="S24" s="124"/>
      <c r="T24" s="125"/>
    </row>
    <row r="25" spans="1:20" s="102" customFormat="1" ht="18.45" customHeight="1" x14ac:dyDescent="0.2">
      <c r="A25" s="386"/>
      <c r="B25" s="342"/>
      <c r="C25" s="88">
        <v>19</v>
      </c>
      <c r="D25" s="134" t="s">
        <v>164</v>
      </c>
      <c r="E25" s="135"/>
      <c r="F25" s="135"/>
      <c r="G25" s="104"/>
      <c r="H25" s="104"/>
      <c r="I25" s="104"/>
      <c r="J25" s="106"/>
      <c r="K25" s="104"/>
      <c r="L25" s="107"/>
      <c r="M25" s="107"/>
      <c r="N25" s="89"/>
      <c r="O25" s="123"/>
      <c r="P25" s="124"/>
      <c r="Q25" s="124"/>
      <c r="R25" s="124"/>
      <c r="S25" s="124"/>
      <c r="T25" s="125"/>
    </row>
    <row r="26" spans="1:20" s="102" customFormat="1" ht="18.45" customHeight="1" x14ac:dyDescent="0.2">
      <c r="A26" s="386"/>
      <c r="B26" s="342"/>
      <c r="C26" s="88">
        <v>20</v>
      </c>
      <c r="D26" s="111" t="s">
        <v>165</v>
      </c>
      <c r="E26" s="104"/>
      <c r="F26" s="104"/>
      <c r="G26" s="104"/>
      <c r="H26" s="104"/>
      <c r="I26" s="105"/>
      <c r="J26" s="106"/>
      <c r="K26" s="104"/>
      <c r="L26" s="107"/>
      <c r="M26" s="107"/>
      <c r="N26" s="89"/>
      <c r="O26" s="123"/>
      <c r="P26" s="124"/>
      <c r="Q26" s="124"/>
      <c r="R26" s="124"/>
      <c r="S26" s="124"/>
      <c r="T26" s="125"/>
    </row>
    <row r="27" spans="1:20" s="102" customFormat="1" ht="18.45" customHeight="1" x14ac:dyDescent="0.2">
      <c r="A27" s="386"/>
      <c r="B27" s="342"/>
      <c r="C27" s="88">
        <v>21</v>
      </c>
      <c r="D27" s="134" t="s">
        <v>166</v>
      </c>
      <c r="E27" s="135"/>
      <c r="F27" s="135"/>
      <c r="G27" s="104"/>
      <c r="H27" s="104"/>
      <c r="I27" s="112"/>
      <c r="J27" s="113"/>
      <c r="K27" s="104"/>
      <c r="L27" s="107"/>
      <c r="M27" s="107"/>
      <c r="N27" s="89"/>
      <c r="O27" s="108"/>
      <c r="P27" s="109"/>
      <c r="Q27" s="109"/>
      <c r="R27" s="109"/>
      <c r="S27" s="109"/>
      <c r="T27" s="110"/>
    </row>
    <row r="28" spans="1:20" s="102" customFormat="1" ht="18.45" customHeight="1" x14ac:dyDescent="0.2">
      <c r="A28" s="386"/>
      <c r="B28" s="342"/>
      <c r="C28" s="88">
        <v>22</v>
      </c>
      <c r="D28" s="358" t="s">
        <v>167</v>
      </c>
      <c r="E28" s="359"/>
      <c r="F28" s="359"/>
      <c r="G28" s="359"/>
      <c r="H28" s="359"/>
      <c r="I28" s="359"/>
      <c r="J28" s="359"/>
      <c r="K28" s="359"/>
      <c r="L28" s="359"/>
      <c r="M28" s="360"/>
      <c r="N28" s="89"/>
      <c r="O28" s="136"/>
      <c r="P28" s="109"/>
      <c r="Q28" s="109"/>
      <c r="R28" s="109"/>
      <c r="S28" s="109"/>
      <c r="T28" s="110"/>
    </row>
    <row r="29" spans="1:20" s="102" customFormat="1" ht="18.45" customHeight="1" x14ac:dyDescent="0.2">
      <c r="A29" s="386"/>
      <c r="B29" s="342"/>
      <c r="C29" s="88">
        <v>23</v>
      </c>
      <c r="D29" s="111" t="s">
        <v>168</v>
      </c>
      <c r="E29" s="135"/>
      <c r="F29" s="135"/>
      <c r="G29" s="104"/>
      <c r="H29" s="104"/>
      <c r="I29" s="105"/>
      <c r="J29" s="106"/>
      <c r="K29" s="104"/>
      <c r="L29" s="107"/>
      <c r="M29" s="107"/>
      <c r="N29" s="89"/>
      <c r="O29" s="123"/>
      <c r="P29" s="124"/>
      <c r="Q29" s="124"/>
      <c r="R29" s="124"/>
      <c r="S29" s="124"/>
      <c r="T29" s="125"/>
    </row>
    <row r="30" spans="1:20" s="102" customFormat="1" ht="18.45" customHeight="1" x14ac:dyDescent="0.2">
      <c r="A30" s="386"/>
      <c r="B30" s="342"/>
      <c r="C30" s="88">
        <v>24</v>
      </c>
      <c r="D30" s="111" t="s">
        <v>169</v>
      </c>
      <c r="E30" s="104"/>
      <c r="F30" s="104"/>
      <c r="G30" s="104"/>
      <c r="H30" s="104"/>
      <c r="I30" s="105"/>
      <c r="J30" s="130"/>
      <c r="K30" s="104"/>
      <c r="L30" s="107"/>
      <c r="M30" s="107"/>
      <c r="N30" s="89"/>
      <c r="O30" s="120"/>
      <c r="P30" s="121"/>
      <c r="Q30" s="121"/>
      <c r="R30" s="121"/>
      <c r="S30" s="121"/>
      <c r="T30" s="122"/>
    </row>
    <row r="31" spans="1:20" s="102" customFormat="1" ht="18.45" customHeight="1" x14ac:dyDescent="0.2">
      <c r="A31" s="386"/>
      <c r="B31" s="342"/>
      <c r="C31" s="88">
        <v>25</v>
      </c>
      <c r="D31" s="103" t="s">
        <v>170</v>
      </c>
      <c r="E31" s="104"/>
      <c r="F31" s="104"/>
      <c r="G31" s="104"/>
      <c r="H31" s="104"/>
      <c r="I31" s="112"/>
      <c r="J31" s="131"/>
      <c r="K31" s="104"/>
      <c r="L31" s="107"/>
      <c r="M31" s="107"/>
      <c r="N31" s="89"/>
      <c r="O31" s="123"/>
      <c r="P31" s="124"/>
      <c r="Q31" s="124"/>
      <c r="R31" s="124"/>
      <c r="S31" s="124"/>
      <c r="T31" s="125"/>
    </row>
    <row r="32" spans="1:20" s="102" customFormat="1" ht="16.05" customHeight="1" x14ac:dyDescent="0.2">
      <c r="A32" s="386"/>
      <c r="B32" s="342"/>
      <c r="C32" s="382">
        <v>26</v>
      </c>
      <c r="D32" s="349" t="s">
        <v>171</v>
      </c>
      <c r="E32" s="350"/>
      <c r="F32" s="350"/>
      <c r="G32" s="350"/>
      <c r="H32" s="350"/>
      <c r="I32" s="350"/>
      <c r="J32" s="350"/>
      <c r="K32" s="350"/>
      <c r="L32" s="350"/>
      <c r="M32" s="351"/>
      <c r="N32" s="382"/>
      <c r="O32" s="137" t="s">
        <v>278</v>
      </c>
      <c r="P32" s="138"/>
      <c r="Q32" s="138"/>
      <c r="R32" s="138"/>
      <c r="S32" s="138"/>
      <c r="T32" s="125"/>
    </row>
    <row r="33" spans="1:20" s="102" customFormat="1" ht="16.05" customHeight="1" thickBot="1" x14ac:dyDescent="0.25">
      <c r="A33" s="387"/>
      <c r="B33" s="343"/>
      <c r="C33" s="384"/>
      <c r="D33" s="352"/>
      <c r="E33" s="353"/>
      <c r="F33" s="353"/>
      <c r="G33" s="353"/>
      <c r="H33" s="353"/>
      <c r="I33" s="353"/>
      <c r="J33" s="353"/>
      <c r="K33" s="353"/>
      <c r="L33" s="353"/>
      <c r="M33" s="354"/>
      <c r="N33" s="383"/>
      <c r="O33" s="139"/>
      <c r="P33" s="140"/>
      <c r="Q33" s="140"/>
      <c r="R33" s="140"/>
      <c r="S33" s="140"/>
      <c r="T33" s="119"/>
    </row>
    <row r="34" spans="1:20" ht="19.5" customHeight="1" thickBot="1" x14ac:dyDescent="0.25">
      <c r="A34" s="381" t="s">
        <v>229</v>
      </c>
      <c r="B34" s="381"/>
      <c r="C34" s="381"/>
      <c r="D34" s="381"/>
      <c r="E34" s="381"/>
      <c r="F34" s="381"/>
      <c r="G34" s="381"/>
      <c r="H34" s="381"/>
      <c r="I34" s="381"/>
      <c r="J34" s="381"/>
      <c r="K34" s="381"/>
      <c r="L34" s="381"/>
      <c r="M34" s="141" t="s">
        <v>205</v>
      </c>
      <c r="N34" s="12">
        <f>SUM(N7:N33)</f>
        <v>0</v>
      </c>
    </row>
    <row r="35" spans="1:20" s="142" customFormat="1" ht="16.5" customHeight="1" thickBot="1" x14ac:dyDescent="0.25">
      <c r="J35" s="143" t="s">
        <v>129</v>
      </c>
      <c r="K35" s="144"/>
      <c r="L35" s="144"/>
      <c r="M35" s="144"/>
      <c r="N35" s="144"/>
      <c r="O35" s="144"/>
      <c r="P35" s="145"/>
      <c r="Q35" s="144"/>
      <c r="R35" s="146"/>
      <c r="S35" s="147"/>
      <c r="T35" s="145"/>
    </row>
    <row r="36" spans="1:20" s="142" customFormat="1" ht="16.5" customHeight="1" x14ac:dyDescent="0.2">
      <c r="A36" s="388" t="s">
        <v>172</v>
      </c>
      <c r="B36" s="389"/>
      <c r="C36" s="389"/>
      <c r="D36" s="389"/>
      <c r="E36" s="389"/>
      <c r="F36" s="148"/>
      <c r="G36" s="148"/>
      <c r="H36" s="148"/>
      <c r="I36" s="148"/>
      <c r="J36" s="149"/>
      <c r="K36" s="148"/>
      <c r="L36" s="150"/>
      <c r="M36" s="67" t="s">
        <v>130</v>
      </c>
      <c r="N36" s="149"/>
      <c r="O36" s="228"/>
      <c r="P36" s="149"/>
      <c r="Q36" s="149"/>
      <c r="R36" s="149"/>
      <c r="S36" s="149"/>
      <c r="T36" s="151"/>
    </row>
    <row r="37" spans="1:20" s="142" customFormat="1" ht="16.5" customHeight="1" x14ac:dyDescent="0.2">
      <c r="A37" s="152"/>
      <c r="B37" s="241"/>
      <c r="C37" s="242"/>
      <c r="D37" s="241"/>
      <c r="F37" s="241"/>
      <c r="G37" s="241"/>
      <c r="H37" s="241"/>
      <c r="I37" s="241"/>
      <c r="K37" s="241"/>
      <c r="L37" s="153"/>
      <c r="M37" s="68" t="s">
        <v>131</v>
      </c>
      <c r="N37" s="154"/>
      <c r="O37" s="155"/>
      <c r="P37" s="156" t="s">
        <v>132</v>
      </c>
      <c r="Q37" s="154"/>
      <c r="R37" s="154"/>
      <c r="S37" s="154"/>
      <c r="T37" s="157"/>
    </row>
    <row r="38" spans="1:20" s="142" customFormat="1" ht="16.5" customHeight="1" x14ac:dyDescent="0.2">
      <c r="A38" s="152"/>
      <c r="B38" s="241"/>
      <c r="D38" s="241"/>
      <c r="F38" s="241"/>
      <c r="G38" s="241"/>
      <c r="H38" s="241"/>
      <c r="I38" s="241"/>
      <c r="K38" s="241"/>
      <c r="L38" s="153"/>
      <c r="M38" s="69" t="s">
        <v>133</v>
      </c>
      <c r="N38" s="158"/>
      <c r="O38" s="159"/>
      <c r="P38" s="159"/>
      <c r="Q38" s="159"/>
      <c r="R38" s="159"/>
      <c r="S38" s="159"/>
      <c r="T38" s="160"/>
    </row>
    <row r="39" spans="1:20" s="142" customFormat="1" ht="16.5" customHeight="1" x14ac:dyDescent="0.2">
      <c r="A39" s="152"/>
      <c r="B39" s="241"/>
      <c r="F39" s="241"/>
      <c r="G39" s="241"/>
      <c r="H39" s="241"/>
      <c r="I39" s="241"/>
      <c r="K39" s="241"/>
      <c r="L39" s="153"/>
      <c r="M39" s="70" t="s">
        <v>131</v>
      </c>
      <c r="N39" s="161"/>
      <c r="O39" s="162"/>
      <c r="P39" s="156" t="s">
        <v>132</v>
      </c>
      <c r="Q39" s="161"/>
      <c r="R39" s="161"/>
      <c r="S39" s="161"/>
      <c r="T39" s="163"/>
    </row>
    <row r="40" spans="1:20" s="142" customFormat="1" ht="16.5" customHeight="1" thickBot="1" x14ac:dyDescent="0.25">
      <c r="A40" s="164"/>
      <c r="B40" s="165"/>
      <c r="C40" s="166"/>
      <c r="D40" s="165"/>
      <c r="E40" s="165"/>
      <c r="F40" s="165"/>
      <c r="G40" s="165"/>
      <c r="H40" s="165"/>
      <c r="I40" s="165"/>
      <c r="J40" s="167"/>
      <c r="K40" s="165"/>
      <c r="L40" s="168"/>
      <c r="M40" s="71" t="s">
        <v>134</v>
      </c>
      <c r="N40" s="169"/>
      <c r="O40" s="166"/>
      <c r="P40" s="167"/>
      <c r="Q40" s="167"/>
      <c r="R40" s="167"/>
      <c r="S40" s="167"/>
      <c r="T40" s="170"/>
    </row>
    <row r="41" spans="1:20" s="102" customFormat="1" ht="19.5" customHeight="1" x14ac:dyDescent="0.2">
      <c r="A41" s="55" t="s">
        <v>6</v>
      </c>
      <c r="B41" s="55"/>
      <c r="C41" s="171"/>
      <c r="D41" s="98" t="s">
        <v>173</v>
      </c>
      <c r="G41" s="390" t="s">
        <v>150</v>
      </c>
      <c r="H41" s="390"/>
      <c r="I41" s="390"/>
      <c r="J41" s="390"/>
      <c r="K41" s="390"/>
      <c r="L41" s="390"/>
      <c r="M41" s="390"/>
      <c r="N41" s="390"/>
      <c r="O41" s="366" t="s">
        <v>228</v>
      </c>
      <c r="P41" s="366"/>
      <c r="Q41" s="366"/>
      <c r="R41" s="366"/>
      <c r="S41" s="366"/>
      <c r="T41" s="366"/>
    </row>
    <row r="42" spans="1:20" s="102" customFormat="1" ht="16.5" customHeight="1" x14ac:dyDescent="0.2">
      <c r="A42" s="385">
        <f>P3</f>
        <v>0</v>
      </c>
      <c r="B42" s="367" t="s">
        <v>174</v>
      </c>
      <c r="C42" s="88">
        <v>27</v>
      </c>
      <c r="D42" s="172" t="s">
        <v>175</v>
      </c>
      <c r="E42" s="106"/>
      <c r="F42" s="106"/>
      <c r="G42" s="106"/>
      <c r="H42" s="106"/>
      <c r="I42" s="106"/>
      <c r="J42" s="106"/>
      <c r="K42" s="106"/>
      <c r="L42" s="106"/>
      <c r="M42" s="115"/>
      <c r="N42" s="89"/>
      <c r="O42" s="99"/>
      <c r="P42" s="100"/>
      <c r="Q42" s="100"/>
      <c r="R42" s="100"/>
      <c r="S42" s="100"/>
      <c r="T42" s="101"/>
    </row>
    <row r="43" spans="1:20" s="102" customFormat="1" ht="16.5" customHeight="1" x14ac:dyDescent="0.2">
      <c r="A43" s="386"/>
      <c r="B43" s="367"/>
      <c r="C43" s="88">
        <v>28</v>
      </c>
      <c r="D43" s="358" t="s">
        <v>176</v>
      </c>
      <c r="E43" s="359"/>
      <c r="F43" s="359"/>
      <c r="G43" s="359"/>
      <c r="H43" s="359"/>
      <c r="I43" s="359"/>
      <c r="J43" s="359"/>
      <c r="K43" s="359"/>
      <c r="L43" s="359"/>
      <c r="M43" s="360"/>
      <c r="N43" s="311"/>
      <c r="O43" s="120"/>
      <c r="P43" s="121"/>
      <c r="Q43" s="121"/>
      <c r="R43" s="121"/>
      <c r="S43" s="121"/>
      <c r="T43" s="122"/>
    </row>
    <row r="44" spans="1:20" s="102" customFormat="1" ht="16.5" customHeight="1" x14ac:dyDescent="0.2">
      <c r="A44" s="386"/>
      <c r="B44" s="367"/>
      <c r="C44" s="88">
        <v>29</v>
      </c>
      <c r="D44" s="172" t="s">
        <v>177</v>
      </c>
      <c r="E44" s="106"/>
      <c r="F44" s="106"/>
      <c r="G44" s="106"/>
      <c r="H44" s="106"/>
      <c r="I44" s="106"/>
      <c r="J44" s="106"/>
      <c r="K44" s="106"/>
      <c r="L44" s="106"/>
      <c r="M44" s="115"/>
      <c r="N44" s="89"/>
      <c r="O44" s="123"/>
      <c r="P44" s="124"/>
      <c r="Q44" s="124"/>
      <c r="R44" s="124"/>
      <c r="S44" s="124"/>
      <c r="T44" s="125"/>
    </row>
    <row r="45" spans="1:20" s="102" customFormat="1" ht="16.5" customHeight="1" x14ac:dyDescent="0.2">
      <c r="A45" s="386"/>
      <c r="B45" s="367"/>
      <c r="C45" s="88">
        <v>30</v>
      </c>
      <c r="D45" s="391" t="s">
        <v>251</v>
      </c>
      <c r="E45" s="392"/>
      <c r="F45" s="392"/>
      <c r="G45" s="392"/>
      <c r="H45" s="392"/>
      <c r="I45" s="392"/>
      <c r="J45" s="392"/>
      <c r="K45" s="392"/>
      <c r="L45" s="392"/>
      <c r="M45" s="393"/>
      <c r="N45" s="89"/>
      <c r="O45" s="123"/>
      <c r="P45" s="124"/>
      <c r="Q45" s="124"/>
      <c r="R45" s="124"/>
      <c r="S45" s="124"/>
      <c r="T45" s="125"/>
    </row>
    <row r="46" spans="1:20" s="102" customFormat="1" ht="16.5" customHeight="1" x14ac:dyDescent="0.2">
      <c r="A46" s="386"/>
      <c r="B46" s="367"/>
      <c r="C46" s="88">
        <v>31</v>
      </c>
      <c r="D46" s="172" t="s">
        <v>178</v>
      </c>
      <c r="E46" s="106"/>
      <c r="F46" s="106"/>
      <c r="G46" s="106"/>
      <c r="H46" s="106"/>
      <c r="I46" s="106"/>
      <c r="J46" s="106"/>
      <c r="K46" s="106"/>
      <c r="L46" s="106"/>
      <c r="M46" s="115"/>
      <c r="N46" s="89"/>
      <c r="O46" s="123"/>
      <c r="P46" s="124"/>
      <c r="Q46" s="124"/>
      <c r="R46" s="124"/>
      <c r="S46" s="124"/>
      <c r="T46" s="125"/>
    </row>
    <row r="47" spans="1:20" s="102" customFormat="1" ht="16.5" customHeight="1" x14ac:dyDescent="0.2">
      <c r="A47" s="386"/>
      <c r="B47" s="367"/>
      <c r="C47" s="88">
        <v>32</v>
      </c>
      <c r="D47" s="355" t="s">
        <v>252</v>
      </c>
      <c r="E47" s="356"/>
      <c r="F47" s="356"/>
      <c r="G47" s="356"/>
      <c r="H47" s="356"/>
      <c r="I47" s="356"/>
      <c r="J47" s="356"/>
      <c r="K47" s="356"/>
      <c r="L47" s="356"/>
      <c r="M47" s="357"/>
      <c r="N47" s="310"/>
      <c r="O47" s="126"/>
      <c r="P47" s="127"/>
      <c r="Q47" s="127"/>
      <c r="R47" s="127"/>
      <c r="S47" s="127"/>
      <c r="T47" s="128"/>
    </row>
    <row r="48" spans="1:20" s="102" customFormat="1" ht="16.5" customHeight="1" x14ac:dyDescent="0.2">
      <c r="A48" s="386"/>
      <c r="B48" s="87" t="s">
        <v>179</v>
      </c>
      <c r="C48" s="88">
        <v>33</v>
      </c>
      <c r="D48" s="254" t="s">
        <v>245</v>
      </c>
      <c r="E48" s="255"/>
      <c r="F48" s="255"/>
      <c r="G48" s="255"/>
      <c r="H48" s="255"/>
      <c r="I48" s="255"/>
      <c r="J48" s="255"/>
      <c r="K48" s="255"/>
      <c r="L48" s="255"/>
      <c r="M48" s="258"/>
      <c r="N48" s="310"/>
      <c r="O48" s="13"/>
      <c r="P48" s="173"/>
      <c r="Q48" s="173"/>
      <c r="R48" s="173"/>
      <c r="S48" s="173"/>
      <c r="T48" s="174"/>
    </row>
    <row r="49" spans="1:20" s="102" customFormat="1" ht="16.5" customHeight="1" x14ac:dyDescent="0.2">
      <c r="A49" s="386"/>
      <c r="B49" s="367" t="s">
        <v>180</v>
      </c>
      <c r="C49" s="88">
        <v>34</v>
      </c>
      <c r="D49" s="368" t="s">
        <v>181</v>
      </c>
      <c r="E49" s="369"/>
      <c r="F49" s="369"/>
      <c r="G49" s="369"/>
      <c r="H49" s="369"/>
      <c r="I49" s="369"/>
      <c r="J49" s="369"/>
      <c r="K49" s="369"/>
      <c r="L49" s="369"/>
      <c r="M49" s="370"/>
      <c r="N49" s="89"/>
      <c r="O49" s="175"/>
      <c r="P49" s="100"/>
      <c r="Q49" s="100"/>
      <c r="R49" s="100"/>
      <c r="S49" s="100"/>
      <c r="T49" s="101"/>
    </row>
    <row r="50" spans="1:20" s="102" customFormat="1" ht="16.5" customHeight="1" x14ac:dyDescent="0.2">
      <c r="A50" s="386"/>
      <c r="B50" s="367"/>
      <c r="C50" s="88">
        <v>35</v>
      </c>
      <c r="D50" s="355" t="s">
        <v>246</v>
      </c>
      <c r="E50" s="356"/>
      <c r="F50" s="356"/>
      <c r="G50" s="356"/>
      <c r="H50" s="356"/>
      <c r="I50" s="356"/>
      <c r="J50" s="356"/>
      <c r="K50" s="356"/>
      <c r="L50" s="356"/>
      <c r="M50" s="357"/>
      <c r="N50" s="310"/>
      <c r="O50" s="120"/>
      <c r="P50" s="121"/>
      <c r="Q50" s="121"/>
      <c r="R50" s="121"/>
      <c r="S50" s="121"/>
      <c r="T50" s="122"/>
    </row>
    <row r="51" spans="1:20" s="102" customFormat="1" ht="16.5" customHeight="1" x14ac:dyDescent="0.2">
      <c r="A51" s="386"/>
      <c r="B51" s="367"/>
      <c r="C51" s="88">
        <v>36</v>
      </c>
      <c r="D51" s="172" t="s">
        <v>182</v>
      </c>
      <c r="E51" s="106"/>
      <c r="F51" s="106"/>
      <c r="G51" s="106"/>
      <c r="H51" s="106"/>
      <c r="I51" s="106"/>
      <c r="J51" s="106"/>
      <c r="K51" s="106"/>
      <c r="L51" s="106"/>
      <c r="M51" s="115"/>
      <c r="N51" s="89"/>
      <c r="O51" s="123"/>
      <c r="P51" s="124"/>
      <c r="Q51" s="124"/>
      <c r="R51" s="124"/>
      <c r="S51" s="124"/>
      <c r="T51" s="125"/>
    </row>
    <row r="52" spans="1:20" s="102" customFormat="1" ht="16.5" customHeight="1" x14ac:dyDescent="0.2">
      <c r="A52" s="386"/>
      <c r="B52" s="367"/>
      <c r="C52" s="88">
        <v>37</v>
      </c>
      <c r="D52" s="368" t="s">
        <v>183</v>
      </c>
      <c r="E52" s="369"/>
      <c r="F52" s="369"/>
      <c r="G52" s="369"/>
      <c r="H52" s="369"/>
      <c r="I52" s="369"/>
      <c r="J52" s="369"/>
      <c r="K52" s="369"/>
      <c r="L52" s="369"/>
      <c r="M52" s="370"/>
      <c r="N52" s="89"/>
      <c r="O52" s="133"/>
      <c r="P52" s="124"/>
      <c r="Q52" s="124"/>
      <c r="R52" s="124"/>
      <c r="S52" s="124"/>
      <c r="T52" s="125"/>
    </row>
    <row r="53" spans="1:20" s="102" customFormat="1" ht="16.5" customHeight="1" x14ac:dyDescent="0.2">
      <c r="A53" s="386"/>
      <c r="B53" s="367"/>
      <c r="C53" s="88">
        <v>38</v>
      </c>
      <c r="D53" s="172" t="s">
        <v>184</v>
      </c>
      <c r="E53" s="106"/>
      <c r="F53" s="106"/>
      <c r="G53" s="106"/>
      <c r="H53" s="106"/>
      <c r="I53" s="106"/>
      <c r="J53" s="106"/>
      <c r="K53" s="106"/>
      <c r="L53" s="106"/>
      <c r="M53" s="115"/>
      <c r="N53" s="89"/>
      <c r="O53" s="133"/>
      <c r="P53" s="124"/>
      <c r="Q53" s="124"/>
      <c r="R53" s="124"/>
      <c r="S53" s="124"/>
      <c r="T53" s="125"/>
    </row>
    <row r="54" spans="1:20" s="102" customFormat="1" ht="16.5" customHeight="1" x14ac:dyDescent="0.2">
      <c r="A54" s="386"/>
      <c r="B54" s="367"/>
      <c r="C54" s="88">
        <v>39</v>
      </c>
      <c r="D54" s="368" t="s">
        <v>185</v>
      </c>
      <c r="E54" s="369"/>
      <c r="F54" s="369"/>
      <c r="G54" s="369"/>
      <c r="H54" s="369"/>
      <c r="I54" s="369"/>
      <c r="J54" s="369"/>
      <c r="K54" s="369"/>
      <c r="L54" s="369"/>
      <c r="M54" s="370"/>
      <c r="N54" s="89"/>
      <c r="O54" s="123"/>
      <c r="P54" s="124"/>
      <c r="Q54" s="124"/>
      <c r="R54" s="124"/>
      <c r="S54" s="124"/>
      <c r="T54" s="125"/>
    </row>
    <row r="55" spans="1:20" s="102" customFormat="1" ht="16.5" customHeight="1" x14ac:dyDescent="0.2">
      <c r="A55" s="386"/>
      <c r="B55" s="367"/>
      <c r="C55" s="88">
        <v>40</v>
      </c>
      <c r="D55" s="172" t="s">
        <v>186</v>
      </c>
      <c r="E55" s="106"/>
      <c r="F55" s="106"/>
      <c r="G55" s="106"/>
      <c r="H55" s="106"/>
      <c r="I55" s="106"/>
      <c r="J55" s="106"/>
      <c r="K55" s="106"/>
      <c r="L55" s="106"/>
      <c r="M55" s="115"/>
      <c r="N55" s="89"/>
      <c r="O55" s="123"/>
      <c r="P55" s="124"/>
      <c r="Q55" s="124"/>
      <c r="R55" s="124"/>
      <c r="S55" s="124"/>
      <c r="T55" s="125"/>
    </row>
    <row r="56" spans="1:20" s="102" customFormat="1" ht="16.5" customHeight="1" x14ac:dyDescent="0.2">
      <c r="A56" s="386"/>
      <c r="B56" s="367"/>
      <c r="C56" s="88">
        <v>41</v>
      </c>
      <c r="D56" s="172" t="s">
        <v>187</v>
      </c>
      <c r="E56" s="106"/>
      <c r="F56" s="106"/>
      <c r="G56" s="106"/>
      <c r="H56" s="106"/>
      <c r="I56" s="106"/>
      <c r="J56" s="106"/>
      <c r="K56" s="106"/>
      <c r="L56" s="106"/>
      <c r="M56" s="115"/>
      <c r="N56" s="89"/>
      <c r="O56" s="176"/>
      <c r="P56" s="118"/>
      <c r="Q56" s="118"/>
      <c r="R56" s="118"/>
      <c r="S56" s="118"/>
      <c r="T56" s="119"/>
    </row>
    <row r="57" spans="1:20" s="102" customFormat="1" ht="16.5" customHeight="1" x14ac:dyDescent="0.2">
      <c r="A57" s="386"/>
      <c r="B57" s="363" t="s">
        <v>188</v>
      </c>
      <c r="C57" s="88">
        <v>42</v>
      </c>
      <c r="D57" s="134" t="s">
        <v>189</v>
      </c>
      <c r="E57" s="177"/>
      <c r="F57" s="177"/>
      <c r="G57" s="177"/>
      <c r="H57" s="106"/>
      <c r="I57" s="106"/>
      <c r="J57" s="106"/>
      <c r="K57" s="106"/>
      <c r="L57" s="106"/>
      <c r="M57" s="115"/>
      <c r="N57" s="89"/>
      <c r="O57" s="178"/>
      <c r="P57" s="100"/>
      <c r="Q57" s="100"/>
      <c r="R57" s="100"/>
      <c r="S57" s="100"/>
      <c r="T57" s="101"/>
    </row>
    <row r="58" spans="1:20" s="102" customFormat="1" ht="16.5" customHeight="1" x14ac:dyDescent="0.2">
      <c r="A58" s="386"/>
      <c r="B58" s="364"/>
      <c r="C58" s="88">
        <v>43</v>
      </c>
      <c r="D58" s="134" t="s">
        <v>190</v>
      </c>
      <c r="E58" s="177"/>
      <c r="F58" s="177"/>
      <c r="G58" s="177"/>
      <c r="H58" s="106"/>
      <c r="I58" s="106"/>
      <c r="J58" s="106"/>
      <c r="K58" s="106"/>
      <c r="L58" s="106"/>
      <c r="M58" s="115"/>
      <c r="N58" s="89"/>
      <c r="O58" s="179"/>
      <c r="P58" s="124"/>
      <c r="Q58" s="124"/>
      <c r="R58" s="124"/>
      <c r="S58" s="124"/>
      <c r="T58" s="125"/>
    </row>
    <row r="59" spans="1:20" s="102" customFormat="1" ht="16.5" customHeight="1" x14ac:dyDescent="0.2">
      <c r="A59" s="386"/>
      <c r="B59" s="364"/>
      <c r="C59" s="88">
        <v>44</v>
      </c>
      <c r="D59" s="134" t="s">
        <v>191</v>
      </c>
      <c r="E59" s="177"/>
      <c r="F59" s="177"/>
      <c r="G59" s="177"/>
      <c r="H59" s="106"/>
      <c r="I59" s="106"/>
      <c r="J59" s="106"/>
      <c r="K59" s="106"/>
      <c r="L59" s="106"/>
      <c r="M59" s="115"/>
      <c r="N59" s="89"/>
      <c r="O59" s="180"/>
      <c r="P59" s="124"/>
      <c r="Q59" s="124"/>
      <c r="R59" s="124"/>
      <c r="S59" s="124"/>
      <c r="T59" s="125"/>
    </row>
    <row r="60" spans="1:20" s="102" customFormat="1" ht="16.5" customHeight="1" x14ac:dyDescent="0.2">
      <c r="A60" s="386"/>
      <c r="B60" s="364"/>
      <c r="C60" s="88">
        <v>45</v>
      </c>
      <c r="D60" s="358" t="s">
        <v>227</v>
      </c>
      <c r="E60" s="359"/>
      <c r="F60" s="359"/>
      <c r="G60" s="359"/>
      <c r="H60" s="359"/>
      <c r="I60" s="359"/>
      <c r="J60" s="359"/>
      <c r="K60" s="359"/>
      <c r="L60" s="359"/>
      <c r="M60" s="360"/>
      <c r="N60" s="89"/>
      <c r="O60" s="179"/>
      <c r="P60" s="124"/>
      <c r="Q60" s="124"/>
      <c r="R60" s="124"/>
      <c r="S60" s="124"/>
      <c r="T60" s="125"/>
    </row>
    <row r="61" spans="1:20" s="102" customFormat="1" ht="16.5" customHeight="1" x14ac:dyDescent="0.2">
      <c r="A61" s="386"/>
      <c r="B61" s="364"/>
      <c r="C61" s="88">
        <v>46</v>
      </c>
      <c r="D61" s="254" t="s">
        <v>247</v>
      </c>
      <c r="E61" s="255"/>
      <c r="F61" s="255"/>
      <c r="G61" s="255"/>
      <c r="H61" s="255"/>
      <c r="I61" s="255"/>
      <c r="J61" s="255"/>
      <c r="K61" s="255"/>
      <c r="L61" s="255"/>
      <c r="M61" s="258"/>
      <c r="N61" s="310"/>
      <c r="O61" s="180"/>
      <c r="P61" s="124"/>
      <c r="Q61" s="124"/>
      <c r="R61" s="124"/>
      <c r="S61" s="124"/>
      <c r="T61" s="125"/>
    </row>
    <row r="62" spans="1:20" s="102" customFormat="1" ht="16.5" customHeight="1" x14ac:dyDescent="0.2">
      <c r="A62" s="386"/>
      <c r="B62" s="364"/>
      <c r="C62" s="88">
        <v>47</v>
      </c>
      <c r="D62" s="134" t="s">
        <v>192</v>
      </c>
      <c r="E62" s="177"/>
      <c r="F62" s="177"/>
      <c r="G62" s="177"/>
      <c r="H62" s="105"/>
      <c r="I62" s="105"/>
      <c r="J62" s="106"/>
      <c r="K62" s="105"/>
      <c r="L62" s="105"/>
      <c r="M62" s="181"/>
      <c r="N62" s="89"/>
      <c r="O62" s="180"/>
      <c r="P62" s="124"/>
      <c r="Q62" s="124"/>
      <c r="R62" s="124"/>
      <c r="S62" s="124"/>
      <c r="T62" s="125"/>
    </row>
    <row r="63" spans="1:20" s="102" customFormat="1" ht="16.5" customHeight="1" x14ac:dyDescent="0.2">
      <c r="A63" s="386"/>
      <c r="B63" s="364"/>
      <c r="C63" s="88">
        <v>48</v>
      </c>
      <c r="D63" s="344" t="s">
        <v>193</v>
      </c>
      <c r="E63" s="345"/>
      <c r="F63" s="345"/>
      <c r="G63" s="345"/>
      <c r="H63" s="345"/>
      <c r="I63" s="345"/>
      <c r="J63" s="345"/>
      <c r="K63" s="345"/>
      <c r="L63" s="345"/>
      <c r="M63" s="346"/>
      <c r="N63" s="89"/>
      <c r="O63" s="136"/>
      <c r="P63" s="109"/>
      <c r="Q63" s="109"/>
      <c r="R63" s="109"/>
      <c r="S63" s="109"/>
      <c r="T63" s="110"/>
    </row>
    <row r="64" spans="1:20" s="102" customFormat="1" ht="16.5" customHeight="1" x14ac:dyDescent="0.2">
      <c r="A64" s="386"/>
      <c r="B64" s="364"/>
      <c r="C64" s="88">
        <v>49</v>
      </c>
      <c r="D64" s="114" t="s">
        <v>194</v>
      </c>
      <c r="E64" s="105"/>
      <c r="F64" s="105"/>
      <c r="G64" s="105"/>
      <c r="H64" s="105"/>
      <c r="I64" s="105"/>
      <c r="J64" s="106"/>
      <c r="K64" s="105"/>
      <c r="L64" s="105"/>
      <c r="M64" s="181"/>
      <c r="N64" s="89"/>
      <c r="O64" s="182"/>
      <c r="P64" s="109"/>
      <c r="Q64" s="109"/>
      <c r="R64" s="109"/>
      <c r="S64" s="109"/>
      <c r="T64" s="110"/>
    </row>
    <row r="65" spans="1:20" s="102" customFormat="1" ht="16.5" customHeight="1" x14ac:dyDescent="0.2">
      <c r="A65" s="386"/>
      <c r="B65" s="364"/>
      <c r="C65" s="88">
        <v>50</v>
      </c>
      <c r="D65" s="114" t="s">
        <v>195</v>
      </c>
      <c r="E65" s="105"/>
      <c r="F65" s="105"/>
      <c r="G65" s="105"/>
      <c r="H65" s="105"/>
      <c r="I65" s="105"/>
      <c r="J65" s="106"/>
      <c r="K65" s="105"/>
      <c r="L65" s="105"/>
      <c r="M65" s="181"/>
      <c r="N65" s="89"/>
      <c r="O65" s="136"/>
      <c r="P65" s="109"/>
      <c r="Q65" s="109"/>
      <c r="R65" s="109"/>
      <c r="S65" s="109"/>
      <c r="T65" s="110"/>
    </row>
    <row r="66" spans="1:20" s="102" customFormat="1" ht="16.5" customHeight="1" thickBot="1" x14ac:dyDescent="0.25">
      <c r="A66" s="387"/>
      <c r="B66" s="365"/>
      <c r="C66" s="88">
        <v>51</v>
      </c>
      <c r="D66" s="114" t="s">
        <v>196</v>
      </c>
      <c r="E66" s="105"/>
      <c r="F66" s="105"/>
      <c r="G66" s="105"/>
      <c r="H66" s="105"/>
      <c r="I66" s="105"/>
      <c r="J66" s="106"/>
      <c r="K66" s="105"/>
      <c r="L66" s="105"/>
      <c r="M66" s="181"/>
      <c r="N66" s="89"/>
      <c r="O66" s="183"/>
      <c r="P66" s="118"/>
      <c r="Q66" s="118"/>
      <c r="R66" s="118"/>
      <c r="S66" s="118"/>
      <c r="T66" s="119"/>
    </row>
    <row r="67" spans="1:20" s="102" customFormat="1" ht="19.5" customHeight="1" thickBot="1" x14ac:dyDescent="0.25">
      <c r="A67" s="381" t="s">
        <v>229</v>
      </c>
      <c r="B67" s="381"/>
      <c r="C67" s="381"/>
      <c r="D67" s="381"/>
      <c r="E67" s="381"/>
      <c r="F67" s="381"/>
      <c r="G67" s="381"/>
      <c r="H67" s="381"/>
      <c r="I67" s="381"/>
      <c r="J67" s="381"/>
      <c r="K67" s="381"/>
      <c r="L67" s="243"/>
      <c r="M67" s="184" t="s">
        <v>206</v>
      </c>
      <c r="N67" s="11">
        <f>SUM(N42:N66)</f>
        <v>0</v>
      </c>
    </row>
    <row r="68" spans="1:20" ht="19.5" customHeight="1" x14ac:dyDescent="0.2">
      <c r="A68" s="185" t="s">
        <v>6</v>
      </c>
      <c r="B68" s="185"/>
      <c r="D68" s="186" t="s">
        <v>262</v>
      </c>
      <c r="E68" s="55"/>
      <c r="H68" s="102"/>
      <c r="I68" s="102"/>
      <c r="J68" s="171"/>
      <c r="N68" s="55"/>
      <c r="O68" s="186" t="s">
        <v>5</v>
      </c>
      <c r="P68" s="171"/>
      <c r="Q68" s="171"/>
      <c r="R68" s="171"/>
      <c r="S68" s="171"/>
      <c r="T68" s="102"/>
    </row>
    <row r="69" spans="1:20" ht="24" customHeight="1" thickBot="1" x14ac:dyDescent="0.25">
      <c r="A69" s="375">
        <f>P3</f>
        <v>0</v>
      </c>
      <c r="B69" s="376" t="s">
        <v>263</v>
      </c>
      <c r="C69" s="90">
        <v>52</v>
      </c>
      <c r="D69" s="377" t="s">
        <v>264</v>
      </c>
      <c r="E69" s="378"/>
      <c r="F69" s="378"/>
      <c r="G69" s="378"/>
      <c r="H69" s="378"/>
      <c r="I69" s="378"/>
      <c r="J69" s="378"/>
      <c r="K69" s="378"/>
      <c r="L69" s="378"/>
      <c r="M69" s="379"/>
      <c r="N69" s="303"/>
      <c r="O69" s="288"/>
      <c r="P69" s="304"/>
      <c r="Q69" s="304"/>
      <c r="R69" s="304"/>
      <c r="S69" s="304"/>
      <c r="T69" s="174"/>
    </row>
    <row r="70" spans="1:20" ht="19.5" customHeight="1" thickBot="1" x14ac:dyDescent="0.25">
      <c r="A70" s="375"/>
      <c r="B70" s="376"/>
      <c r="C70" s="305"/>
      <c r="D70" s="306" t="s">
        <v>265</v>
      </c>
      <c r="E70" s="302"/>
      <c r="F70" s="307"/>
      <c r="G70" s="307"/>
      <c r="H70" s="173"/>
      <c r="I70" s="173"/>
      <c r="J70" s="304"/>
      <c r="K70" s="307"/>
      <c r="L70" s="307"/>
      <c r="M70" s="141" t="s">
        <v>266</v>
      </c>
      <c r="N70" s="11">
        <f>SUM(N69)</f>
        <v>0</v>
      </c>
      <c r="O70" s="371" t="s">
        <v>267</v>
      </c>
      <c r="P70" s="372"/>
      <c r="Q70" s="372"/>
      <c r="R70" s="372"/>
      <c r="S70" s="372"/>
      <c r="T70" s="372"/>
    </row>
    <row r="71" spans="1:20" ht="24" customHeight="1" thickBot="1" x14ac:dyDescent="0.25">
      <c r="A71" s="375"/>
      <c r="B71" s="376"/>
      <c r="C71" s="90">
        <v>53</v>
      </c>
      <c r="D71" s="377" t="s">
        <v>268</v>
      </c>
      <c r="E71" s="378"/>
      <c r="F71" s="378"/>
      <c r="G71" s="378"/>
      <c r="H71" s="378"/>
      <c r="I71" s="378"/>
      <c r="J71" s="378"/>
      <c r="K71" s="378"/>
      <c r="L71" s="378"/>
      <c r="M71" s="379"/>
      <c r="N71" s="253"/>
      <c r="O71" s="187"/>
      <c r="P71" s="188"/>
      <c r="Q71" s="188"/>
      <c r="R71" s="188"/>
      <c r="S71" s="188"/>
      <c r="T71" s="189"/>
    </row>
    <row r="72" spans="1:20" s="102" customFormat="1" ht="19.5" customHeight="1" thickBot="1" x14ac:dyDescent="0.25">
      <c r="B72" s="308" t="s">
        <v>234</v>
      </c>
      <c r="C72" s="251" t="s">
        <v>238</v>
      </c>
      <c r="D72" s="251"/>
      <c r="E72" s="171"/>
      <c r="F72" s="171"/>
      <c r="G72" s="171"/>
      <c r="H72" s="171"/>
      <c r="I72" s="171"/>
      <c r="J72" s="171"/>
      <c r="K72" s="171"/>
      <c r="M72" s="141" t="s">
        <v>269</v>
      </c>
      <c r="N72" s="11">
        <f>SUM(N71)</f>
        <v>0</v>
      </c>
      <c r="O72" s="371" t="s">
        <v>267</v>
      </c>
      <c r="P72" s="372"/>
      <c r="Q72" s="372"/>
      <c r="R72" s="372"/>
      <c r="S72" s="372"/>
      <c r="T72" s="372"/>
    </row>
    <row r="73" spans="1:20" ht="19.05" customHeight="1" x14ac:dyDescent="0.2">
      <c r="B73" s="308" t="s">
        <v>250</v>
      </c>
      <c r="C73" s="251" t="s">
        <v>239</v>
      </c>
      <c r="D73" s="251"/>
    </row>
    <row r="74" spans="1:20" ht="19.05" customHeight="1" x14ac:dyDescent="0.2">
      <c r="B74" s="308" t="s">
        <v>235</v>
      </c>
      <c r="C74" s="251" t="s">
        <v>237</v>
      </c>
      <c r="D74" s="251"/>
      <c r="J74" s="245" t="s">
        <v>8</v>
      </c>
      <c r="K74" s="246"/>
      <c r="L74" s="246"/>
      <c r="M74" s="246"/>
      <c r="N74" s="246"/>
      <c r="O74" s="246"/>
      <c r="P74" s="246"/>
      <c r="Q74" s="246"/>
      <c r="R74" s="246"/>
      <c r="S74" s="246"/>
      <c r="T74" s="247"/>
    </row>
    <row r="75" spans="1:20" ht="19.05" customHeight="1" x14ac:dyDescent="0.2">
      <c r="B75" s="309" t="s">
        <v>236</v>
      </c>
      <c r="C75" s="259" t="s">
        <v>270</v>
      </c>
      <c r="D75" s="259"/>
      <c r="E75" s="260"/>
      <c r="F75" s="260"/>
      <c r="G75" s="260"/>
      <c r="H75" s="260"/>
      <c r="J75" s="248" t="s">
        <v>271</v>
      </c>
      <c r="K75" s="249"/>
      <c r="L75" s="249"/>
      <c r="M75" s="249"/>
      <c r="N75" s="249"/>
      <c r="O75" s="249"/>
      <c r="P75" s="249"/>
      <c r="Q75" s="249"/>
      <c r="R75" s="249"/>
      <c r="S75" s="249"/>
      <c r="T75" s="250"/>
    </row>
    <row r="76" spans="1:20" s="102" customFormat="1" ht="19.5" customHeight="1" x14ac:dyDescent="0.2">
      <c r="C76" s="171"/>
      <c r="F76" s="191"/>
      <c r="G76" s="252" t="s">
        <v>7</v>
      </c>
      <c r="H76" s="192" t="s">
        <v>230</v>
      </c>
      <c r="I76" s="191"/>
      <c r="J76" s="191"/>
      <c r="K76" s="191"/>
      <c r="L76" s="191"/>
      <c r="M76" s="191"/>
      <c r="N76" s="191"/>
      <c r="O76" s="193"/>
      <c r="P76" s="194"/>
      <c r="Q76" s="191"/>
      <c r="R76" s="191"/>
      <c r="S76" s="191"/>
      <c r="T76" s="191"/>
    </row>
    <row r="77" spans="1:20" s="102" customFormat="1" ht="19.5" customHeight="1" x14ac:dyDescent="0.2">
      <c r="C77" s="171"/>
      <c r="F77" s="191"/>
      <c r="G77" s="191"/>
      <c r="H77" s="192" t="s">
        <v>197</v>
      </c>
      <c r="I77" s="191"/>
      <c r="J77" s="191"/>
      <c r="K77" s="191"/>
      <c r="L77" s="191"/>
      <c r="M77" s="191"/>
      <c r="N77" s="191"/>
      <c r="O77" s="193"/>
      <c r="P77" s="194"/>
      <c r="Q77" s="191"/>
      <c r="R77" s="191"/>
      <c r="S77" s="191"/>
      <c r="T77" s="191"/>
    </row>
    <row r="78" spans="1:20" s="102" customFormat="1" ht="19.5" customHeight="1" x14ac:dyDescent="0.2">
      <c r="C78" s="171"/>
      <c r="F78" s="191"/>
      <c r="G78" s="191"/>
      <c r="H78" s="192" t="s">
        <v>198</v>
      </c>
      <c r="I78" s="191"/>
      <c r="J78" s="191"/>
      <c r="K78" s="191"/>
      <c r="L78" s="191"/>
      <c r="M78" s="191"/>
      <c r="N78" s="195"/>
      <c r="O78" s="196"/>
      <c r="P78" s="194"/>
      <c r="Q78" s="191"/>
      <c r="R78" s="191"/>
      <c r="S78" s="191"/>
      <c r="T78" s="191"/>
    </row>
    <row r="79" spans="1:20" s="102" customFormat="1" ht="19.5" customHeight="1" thickBot="1" x14ac:dyDescent="0.25">
      <c r="C79" s="171"/>
      <c r="F79" s="191"/>
      <c r="G79" s="191"/>
      <c r="H79" s="190" t="s">
        <v>199</v>
      </c>
      <c r="I79" s="191"/>
      <c r="J79" s="191"/>
      <c r="K79" s="191"/>
      <c r="L79" s="191"/>
      <c r="M79" s="191"/>
      <c r="N79" s="191"/>
      <c r="O79" s="193"/>
      <c r="P79" s="194"/>
      <c r="Q79" s="191"/>
      <c r="R79" s="191"/>
      <c r="S79" s="191"/>
      <c r="T79" s="191"/>
    </row>
    <row r="80" spans="1:20" ht="19.5" customHeight="1" x14ac:dyDescent="0.2">
      <c r="A80" s="373" t="s">
        <v>172</v>
      </c>
      <c r="B80" s="374"/>
      <c r="C80" s="374"/>
      <c r="D80" s="374"/>
      <c r="E80" s="197"/>
      <c r="F80" s="197"/>
      <c r="G80" s="197"/>
      <c r="H80" s="197"/>
      <c r="I80" s="197"/>
      <c r="J80" s="197"/>
      <c r="K80" s="197"/>
      <c r="L80" s="197"/>
      <c r="M80" s="197"/>
      <c r="N80" s="197"/>
      <c r="O80" s="197"/>
      <c r="P80" s="197"/>
      <c r="Q80" s="197"/>
      <c r="R80" s="197"/>
      <c r="S80" s="197"/>
      <c r="T80" s="198"/>
    </row>
    <row r="81" spans="1:20" ht="19.5" customHeight="1" thickBot="1" x14ac:dyDescent="0.25">
      <c r="A81" s="199"/>
      <c r="B81" s="200"/>
      <c r="C81" s="200"/>
      <c r="D81" s="200"/>
      <c r="E81" s="200"/>
      <c r="F81" s="200"/>
      <c r="G81" s="200"/>
      <c r="H81" s="200"/>
      <c r="I81" s="200"/>
      <c r="J81" s="200"/>
      <c r="K81" s="200"/>
      <c r="L81" s="200"/>
      <c r="M81" s="200"/>
      <c r="N81" s="200"/>
      <c r="O81" s="200"/>
      <c r="P81" s="200"/>
      <c r="Q81" s="200"/>
      <c r="R81" s="200"/>
      <c r="S81" s="200"/>
      <c r="T81" s="201"/>
    </row>
    <row r="82" spans="1:20" ht="19.5" customHeight="1" x14ac:dyDescent="0.2">
      <c r="P82" s="55"/>
    </row>
    <row r="83" spans="1:20" s="202" customFormat="1" ht="24" customHeight="1" x14ac:dyDescent="0.2">
      <c r="C83" s="203"/>
      <c r="G83" s="202" t="str">
        <f>G1</f>
        <v>第  回　</v>
      </c>
      <c r="K83" s="202" t="s">
        <v>9</v>
      </c>
    </row>
    <row r="84" spans="1:20" s="204" customFormat="1" ht="24" customHeight="1" x14ac:dyDescent="0.2">
      <c r="C84" s="205"/>
    </row>
    <row r="85" spans="1:20" ht="19.5" customHeight="1" thickBot="1" x14ac:dyDescent="0.25"/>
    <row r="86" spans="1:20" ht="19.5" customHeight="1" thickBot="1" x14ac:dyDescent="0.25">
      <c r="E86" s="14"/>
      <c r="F86" s="380" t="s">
        <v>10</v>
      </c>
      <c r="G86" s="380"/>
      <c r="H86" s="15"/>
      <c r="I86" s="75" t="s">
        <v>200</v>
      </c>
      <c r="J86" s="16" t="s">
        <v>11</v>
      </c>
      <c r="K86" s="16" t="s">
        <v>12</v>
      </c>
      <c r="L86" s="16" t="s">
        <v>13</v>
      </c>
      <c r="M86" s="16"/>
      <c r="N86" s="16" t="s">
        <v>14</v>
      </c>
      <c r="O86" s="16" t="s">
        <v>201</v>
      </c>
      <c r="P86" s="206" t="s">
        <v>15</v>
      </c>
    </row>
    <row r="87" spans="1:20" ht="19.5" customHeight="1" thickBot="1" x14ac:dyDescent="0.25">
      <c r="E87" s="335" t="s">
        <v>16</v>
      </c>
      <c r="F87" s="336"/>
      <c r="G87" s="336"/>
      <c r="H87" s="337"/>
      <c r="I87" s="207"/>
      <c r="J87" s="208"/>
      <c r="K87" s="208"/>
      <c r="L87" s="208"/>
      <c r="M87" s="209"/>
      <c r="N87" s="208"/>
      <c r="O87" s="210">
        <f>SUM(O89,O92)</f>
        <v>0</v>
      </c>
      <c r="P87" s="211">
        <v>200</v>
      </c>
    </row>
    <row r="88" spans="1:20" ht="19.5" customHeight="1" x14ac:dyDescent="0.2">
      <c r="E88" s="323"/>
      <c r="F88" s="324"/>
      <c r="G88" s="324"/>
      <c r="H88" s="325"/>
      <c r="I88" s="212"/>
      <c r="J88" s="212"/>
      <c r="K88" s="212"/>
      <c r="L88" s="212"/>
      <c r="M88" s="208"/>
      <c r="N88" s="208"/>
      <c r="O88" s="208"/>
      <c r="P88" s="211">
        <v>100</v>
      </c>
    </row>
    <row r="89" spans="1:20" ht="19.5" customHeight="1" x14ac:dyDescent="0.2">
      <c r="E89" s="323" t="s">
        <v>202</v>
      </c>
      <c r="F89" s="324"/>
      <c r="G89" s="324"/>
      <c r="H89" s="325"/>
      <c r="I89" s="213"/>
      <c r="J89" s="208"/>
      <c r="K89" s="208">
        <f>I89-J89</f>
        <v>0</v>
      </c>
      <c r="L89" s="208">
        <f>N34</f>
        <v>0</v>
      </c>
      <c r="M89" s="208"/>
      <c r="N89" s="214" t="e">
        <f>L89/K89</f>
        <v>#DIV/0!</v>
      </c>
      <c r="O89" s="215"/>
      <c r="P89" s="211"/>
    </row>
    <row r="90" spans="1:20" ht="19.5" customHeight="1" x14ac:dyDescent="0.2">
      <c r="E90" s="326"/>
      <c r="F90" s="327"/>
      <c r="G90" s="327"/>
      <c r="H90" s="328"/>
      <c r="I90" s="213"/>
      <c r="J90" s="208"/>
      <c r="K90" s="208"/>
      <c r="L90" s="208"/>
      <c r="M90" s="208"/>
      <c r="N90" s="208"/>
      <c r="O90" s="208"/>
      <c r="P90" s="211"/>
    </row>
    <row r="91" spans="1:20" ht="19.5" customHeight="1" x14ac:dyDescent="0.2">
      <c r="E91" s="326"/>
      <c r="F91" s="327"/>
      <c r="G91" s="327"/>
      <c r="H91" s="328"/>
      <c r="I91" s="213"/>
      <c r="J91" s="208"/>
      <c r="K91" s="208"/>
      <c r="L91" s="208"/>
      <c r="M91" s="208"/>
      <c r="N91" s="208"/>
      <c r="O91" s="208"/>
      <c r="P91" s="211"/>
    </row>
    <row r="92" spans="1:20" ht="19.5" customHeight="1" x14ac:dyDescent="0.2">
      <c r="E92" s="323" t="s">
        <v>203</v>
      </c>
      <c r="F92" s="324"/>
      <c r="G92" s="324"/>
      <c r="H92" s="325"/>
      <c r="I92" s="212">
        <f>SUM(I93:I95)</f>
        <v>0</v>
      </c>
      <c r="J92" s="212">
        <f>SUM(J93:J94)</f>
        <v>0</v>
      </c>
      <c r="K92" s="212">
        <f>SUM(K93:K95)</f>
        <v>0</v>
      </c>
      <c r="L92" s="212">
        <f>SUM(L93:L95)</f>
        <v>0</v>
      </c>
      <c r="M92" s="208"/>
      <c r="N92" s="214" t="e">
        <f>L92/K92</f>
        <v>#DIV/0!</v>
      </c>
      <c r="O92" s="215"/>
      <c r="P92" s="211">
        <v>100</v>
      </c>
    </row>
    <row r="93" spans="1:20" ht="19.5" customHeight="1" x14ac:dyDescent="0.2">
      <c r="E93" s="326" t="s">
        <v>207</v>
      </c>
      <c r="F93" s="327"/>
      <c r="G93" s="327"/>
      <c r="H93" s="328"/>
      <c r="I93" s="213"/>
      <c r="J93" s="208"/>
      <c r="K93" s="208">
        <f>I93-J93</f>
        <v>0</v>
      </c>
      <c r="L93" s="208">
        <f>N67</f>
        <v>0</v>
      </c>
      <c r="M93" s="208"/>
      <c r="N93" s="214" t="e">
        <f>L93/K93</f>
        <v>#DIV/0!</v>
      </c>
      <c r="O93" s="208"/>
      <c r="P93" s="211"/>
    </row>
    <row r="94" spans="1:20" ht="19.5" customHeight="1" x14ac:dyDescent="0.2">
      <c r="E94" s="329" t="s">
        <v>272</v>
      </c>
      <c r="F94" s="330"/>
      <c r="G94" s="330"/>
      <c r="H94" s="331"/>
      <c r="I94" s="216"/>
      <c r="J94" s="217"/>
      <c r="K94" s="217">
        <f>I94-J94</f>
        <v>0</v>
      </c>
      <c r="L94" s="217">
        <f>N70</f>
        <v>0</v>
      </c>
      <c r="M94" s="217"/>
      <c r="N94" s="218" t="e">
        <f t="shared" ref="N94:N95" si="0">L94/K94</f>
        <v>#DIV/0!</v>
      </c>
      <c r="O94" s="208"/>
      <c r="P94" s="211"/>
    </row>
    <row r="95" spans="1:20" ht="19.5" customHeight="1" x14ac:dyDescent="0.2">
      <c r="E95" s="329" t="s">
        <v>276</v>
      </c>
      <c r="F95" s="330"/>
      <c r="G95" s="330"/>
      <c r="H95" s="331"/>
      <c r="I95" s="216"/>
      <c r="J95" s="217"/>
      <c r="K95" s="217">
        <f>I95-J95</f>
        <v>0</v>
      </c>
      <c r="L95" s="217">
        <f>N72</f>
        <v>0</v>
      </c>
      <c r="M95" s="217"/>
      <c r="N95" s="218" t="e">
        <f t="shared" si="0"/>
        <v>#DIV/0!</v>
      </c>
      <c r="O95" s="208"/>
      <c r="P95" s="211"/>
    </row>
    <row r="96" spans="1:20" ht="19.5" customHeight="1" thickBot="1" x14ac:dyDescent="0.25">
      <c r="E96" s="332"/>
      <c r="F96" s="333"/>
      <c r="G96" s="333"/>
      <c r="H96" s="334"/>
      <c r="I96" s="219"/>
      <c r="J96" s="220"/>
      <c r="K96" s="220"/>
      <c r="L96" s="220"/>
      <c r="M96" s="220"/>
      <c r="N96" s="220"/>
      <c r="O96" s="220"/>
      <c r="P96" s="221"/>
    </row>
    <row r="97" spans="6:16" ht="19.5" customHeight="1" x14ac:dyDescent="0.2">
      <c r="P97" s="55"/>
    </row>
    <row r="98" spans="6:16" ht="26.25" customHeight="1" x14ac:dyDescent="0.2">
      <c r="F98" s="222"/>
      <c r="G98" s="223" t="s">
        <v>18</v>
      </c>
      <c r="H98" s="224" t="s">
        <v>19</v>
      </c>
      <c r="I98" s="224"/>
      <c r="K98" s="222"/>
      <c r="L98" s="222"/>
      <c r="M98" s="222"/>
      <c r="N98" s="222"/>
      <c r="O98" s="222"/>
      <c r="P98" s="225"/>
    </row>
    <row r="99" spans="6:16" ht="19.5" customHeight="1" x14ac:dyDescent="0.2">
      <c r="P99" s="55"/>
    </row>
    <row r="100" spans="6:16" ht="19.5" customHeight="1" x14ac:dyDescent="0.2">
      <c r="P100" s="55"/>
    </row>
    <row r="101" spans="6:16" ht="26.25" customHeight="1" x14ac:dyDescent="0.2">
      <c r="G101" s="226" t="s">
        <v>20</v>
      </c>
      <c r="H101" s="227" t="s">
        <v>21</v>
      </c>
      <c r="I101" s="227"/>
      <c r="P101" s="55"/>
    </row>
  </sheetData>
  <mergeCells count="61">
    <mergeCell ref="F86:G86"/>
    <mergeCell ref="D15:M15"/>
    <mergeCell ref="A67:K67"/>
    <mergeCell ref="N32:N33"/>
    <mergeCell ref="C32:C33"/>
    <mergeCell ref="A7:A33"/>
    <mergeCell ref="B7:B12"/>
    <mergeCell ref="D7:M7"/>
    <mergeCell ref="D10:M10"/>
    <mergeCell ref="D11:M11"/>
    <mergeCell ref="D9:M9"/>
    <mergeCell ref="A34:L34"/>
    <mergeCell ref="A36:E36"/>
    <mergeCell ref="G41:N41"/>
    <mergeCell ref="A42:A66"/>
    <mergeCell ref="D45:M45"/>
    <mergeCell ref="B57:B66"/>
    <mergeCell ref="D60:M60"/>
    <mergeCell ref="D63:M63"/>
    <mergeCell ref="O72:T72"/>
    <mergeCell ref="A80:D80"/>
    <mergeCell ref="A69:A71"/>
    <mergeCell ref="B69:B71"/>
    <mergeCell ref="D69:M69"/>
    <mergeCell ref="O70:T70"/>
    <mergeCell ref="D71:M71"/>
    <mergeCell ref="O41:T41"/>
    <mergeCell ref="B49:B56"/>
    <mergeCell ref="D49:M49"/>
    <mergeCell ref="D50:M50"/>
    <mergeCell ref="D52:M52"/>
    <mergeCell ref="D54:M54"/>
    <mergeCell ref="D47:M47"/>
    <mergeCell ref="B42:B47"/>
    <mergeCell ref="D43:M43"/>
    <mergeCell ref="P3:Q3"/>
    <mergeCell ref="N4:O4"/>
    <mergeCell ref="P4:Q4"/>
    <mergeCell ref="B19:B33"/>
    <mergeCell ref="D21:M21"/>
    <mergeCell ref="A3:B3"/>
    <mergeCell ref="I3:J3"/>
    <mergeCell ref="N3:O3"/>
    <mergeCell ref="D32:M33"/>
    <mergeCell ref="D23:M23"/>
    <mergeCell ref="D24:M24"/>
    <mergeCell ref="D28:M28"/>
    <mergeCell ref="P6:Q6"/>
    <mergeCell ref="F6:O6"/>
    <mergeCell ref="B13:B18"/>
    <mergeCell ref="D14:M14"/>
    <mergeCell ref="E87:H87"/>
    <mergeCell ref="E88:H88"/>
    <mergeCell ref="E89:H89"/>
    <mergeCell ref="E90:H90"/>
    <mergeCell ref="E91:H91"/>
    <mergeCell ref="E92:H92"/>
    <mergeCell ref="E93:H93"/>
    <mergeCell ref="E94:H94"/>
    <mergeCell ref="E95:H95"/>
    <mergeCell ref="E96:H96"/>
  </mergeCells>
  <phoneticPr fontId="2"/>
  <dataValidations count="2">
    <dataValidation type="list" allowBlank="1" showInputMessage="1" showErrorMessage="1" sqref="N69 N71" xr:uid="{30EFC4E9-6AAB-4F07-9E24-6A2BE35A5FAE}">
      <formula1>"　,10,9,8,7,6,5,4,3,2,1,0"</formula1>
    </dataValidation>
    <dataValidation type="list" allowBlank="1" showInputMessage="1" showErrorMessage="1" sqref="N7:N33 N42:N66" xr:uid="{B26229B2-241D-406A-8959-9C8317CD6F97}">
      <formula1>"　,5,3,1,0,―"</formula1>
    </dataValidation>
  </dataValidations>
  <printOptions horizontalCentered="1" verticalCentered="1"/>
  <pageMargins left="0" right="0" top="0" bottom="0" header="0.31496062992125984" footer="0.31496062992125984"/>
  <pageSetup paperSize="9" scale="82" orientation="landscape" r:id="rId1"/>
  <headerFooter alignWithMargins="0"/>
  <rowBreaks count="2" manualBreakCount="2">
    <brk id="40" max="19" man="1"/>
    <brk id="81" max="19" man="1"/>
  </rowBreaks>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U40"/>
  <sheetViews>
    <sheetView workbookViewId="0">
      <selection activeCell="O1" sqref="O1"/>
    </sheetView>
  </sheetViews>
  <sheetFormatPr defaultRowHeight="13.2" x14ac:dyDescent="0.2"/>
  <cols>
    <col min="1" max="1" width="3.6640625" style="4" customWidth="1"/>
    <col min="2" max="2" width="9.88671875" style="4" customWidth="1"/>
    <col min="3" max="3" width="4.109375" style="5" customWidth="1"/>
    <col min="4" max="4" width="9" style="4"/>
    <col min="5" max="5" width="2.77734375" style="4" customWidth="1"/>
    <col min="6" max="6" width="9" style="4"/>
    <col min="7" max="7" width="3.21875" style="4" customWidth="1"/>
    <col min="8" max="8" width="9" style="4"/>
    <col min="9" max="9" width="2.77734375" style="4" customWidth="1"/>
    <col min="10" max="11" width="9" style="4"/>
    <col min="12" max="12" width="2.77734375" style="4" customWidth="1"/>
    <col min="13" max="13" width="12.109375" style="4" customWidth="1"/>
    <col min="14" max="15" width="3.6640625" style="5" customWidth="1"/>
    <col min="16" max="18" width="9" style="4"/>
    <col min="19" max="19" width="6.44140625" style="4" customWidth="1"/>
    <col min="20" max="256" width="9" style="4"/>
    <col min="257" max="257" width="3.6640625" style="4" customWidth="1"/>
    <col min="258" max="258" width="9.88671875" style="4" customWidth="1"/>
    <col min="259" max="259" width="4.109375" style="4" customWidth="1"/>
    <col min="260" max="260" width="9" style="4"/>
    <col min="261" max="261" width="2.77734375" style="4" customWidth="1"/>
    <col min="262" max="264" width="9" style="4"/>
    <col min="265" max="265" width="2.77734375" style="4" customWidth="1"/>
    <col min="266" max="268" width="9" style="4"/>
    <col min="269" max="270" width="3.6640625" style="4" customWidth="1"/>
    <col min="271" max="272" width="9" style="4"/>
    <col min="273" max="273" width="2.77734375" style="4" customWidth="1"/>
    <col min="274" max="274" width="9" style="4"/>
    <col min="275" max="275" width="6.44140625" style="4" customWidth="1"/>
    <col min="276" max="512" width="9" style="4"/>
    <col min="513" max="513" width="3.6640625" style="4" customWidth="1"/>
    <col min="514" max="514" width="9.88671875" style="4" customWidth="1"/>
    <col min="515" max="515" width="4.109375" style="4" customWidth="1"/>
    <col min="516" max="516" width="9" style="4"/>
    <col min="517" max="517" width="2.77734375" style="4" customWidth="1"/>
    <col min="518" max="520" width="9" style="4"/>
    <col min="521" max="521" width="2.77734375" style="4" customWidth="1"/>
    <col min="522" max="524" width="9" style="4"/>
    <col min="525" max="526" width="3.6640625" style="4" customWidth="1"/>
    <col min="527" max="528" width="9" style="4"/>
    <col min="529" max="529" width="2.77734375" style="4" customWidth="1"/>
    <col min="530" max="530" width="9" style="4"/>
    <col min="531" max="531" width="6.44140625" style="4" customWidth="1"/>
    <col min="532" max="768" width="9" style="4"/>
    <col min="769" max="769" width="3.6640625" style="4" customWidth="1"/>
    <col min="770" max="770" width="9.88671875" style="4" customWidth="1"/>
    <col min="771" max="771" width="4.109375" style="4" customWidth="1"/>
    <col min="772" max="772" width="9" style="4"/>
    <col min="773" max="773" width="2.77734375" style="4" customWidth="1"/>
    <col min="774" max="776" width="9" style="4"/>
    <col min="777" max="777" width="2.77734375" style="4" customWidth="1"/>
    <col min="778" max="780" width="9" style="4"/>
    <col min="781" max="782" width="3.6640625" style="4" customWidth="1"/>
    <col min="783" max="784" width="9" style="4"/>
    <col min="785" max="785" width="2.77734375" style="4" customWidth="1"/>
    <col min="786" max="786" width="9" style="4"/>
    <col min="787" max="787" width="6.44140625" style="4" customWidth="1"/>
    <col min="788" max="1024" width="9" style="4"/>
    <col min="1025" max="1025" width="3.6640625" style="4" customWidth="1"/>
    <col min="1026" max="1026" width="9.88671875" style="4" customWidth="1"/>
    <col min="1027" max="1027" width="4.109375" style="4" customWidth="1"/>
    <col min="1028" max="1028" width="9" style="4"/>
    <col min="1029" max="1029" width="2.77734375" style="4" customWidth="1"/>
    <col min="1030" max="1032" width="9" style="4"/>
    <col min="1033" max="1033" width="2.77734375" style="4" customWidth="1"/>
    <col min="1034" max="1036" width="9" style="4"/>
    <col min="1037" max="1038" width="3.6640625" style="4" customWidth="1"/>
    <col min="1039" max="1040" width="9" style="4"/>
    <col min="1041" max="1041" width="2.77734375" style="4" customWidth="1"/>
    <col min="1042" max="1042" width="9" style="4"/>
    <col min="1043" max="1043" width="6.44140625" style="4" customWidth="1"/>
    <col min="1044" max="1280" width="9" style="4"/>
    <col min="1281" max="1281" width="3.6640625" style="4" customWidth="1"/>
    <col min="1282" max="1282" width="9.88671875" style="4" customWidth="1"/>
    <col min="1283" max="1283" width="4.109375" style="4" customWidth="1"/>
    <col min="1284" max="1284" width="9" style="4"/>
    <col min="1285" max="1285" width="2.77734375" style="4" customWidth="1"/>
    <col min="1286" max="1288" width="9" style="4"/>
    <col min="1289" max="1289" width="2.77734375" style="4" customWidth="1"/>
    <col min="1290" max="1292" width="9" style="4"/>
    <col min="1293" max="1294" width="3.6640625" style="4" customWidth="1"/>
    <col min="1295" max="1296" width="9" style="4"/>
    <col min="1297" max="1297" width="2.77734375" style="4" customWidth="1"/>
    <col min="1298" max="1298" width="9" style="4"/>
    <col min="1299" max="1299" width="6.44140625" style="4" customWidth="1"/>
    <col min="1300" max="1536" width="9" style="4"/>
    <col min="1537" max="1537" width="3.6640625" style="4" customWidth="1"/>
    <col min="1538" max="1538" width="9.88671875" style="4" customWidth="1"/>
    <col min="1539" max="1539" width="4.109375" style="4" customWidth="1"/>
    <col min="1540" max="1540" width="9" style="4"/>
    <col min="1541" max="1541" width="2.77734375" style="4" customWidth="1"/>
    <col min="1542" max="1544" width="9" style="4"/>
    <col min="1545" max="1545" width="2.77734375" style="4" customWidth="1"/>
    <col min="1546" max="1548" width="9" style="4"/>
    <col min="1549" max="1550" width="3.6640625" style="4" customWidth="1"/>
    <col min="1551" max="1552" width="9" style="4"/>
    <col min="1553" max="1553" width="2.77734375" style="4" customWidth="1"/>
    <col min="1554" max="1554" width="9" style="4"/>
    <col min="1555" max="1555" width="6.44140625" style="4" customWidth="1"/>
    <col min="1556" max="1792" width="9" style="4"/>
    <col min="1793" max="1793" width="3.6640625" style="4" customWidth="1"/>
    <col min="1794" max="1794" width="9.88671875" style="4" customWidth="1"/>
    <col min="1795" max="1795" width="4.109375" style="4" customWidth="1"/>
    <col min="1796" max="1796" width="9" style="4"/>
    <col min="1797" max="1797" width="2.77734375" style="4" customWidth="1"/>
    <col min="1798" max="1800" width="9" style="4"/>
    <col min="1801" max="1801" width="2.77734375" style="4" customWidth="1"/>
    <col min="1802" max="1804" width="9" style="4"/>
    <col min="1805" max="1806" width="3.6640625" style="4" customWidth="1"/>
    <col min="1807" max="1808" width="9" style="4"/>
    <col min="1809" max="1809" width="2.77734375" style="4" customWidth="1"/>
    <col min="1810" max="1810" width="9" style="4"/>
    <col min="1811" max="1811" width="6.44140625" style="4" customWidth="1"/>
    <col min="1812" max="2048" width="9" style="4"/>
    <col min="2049" max="2049" width="3.6640625" style="4" customWidth="1"/>
    <col min="2050" max="2050" width="9.88671875" style="4" customWidth="1"/>
    <col min="2051" max="2051" width="4.109375" style="4" customWidth="1"/>
    <col min="2052" max="2052" width="9" style="4"/>
    <col min="2053" max="2053" width="2.77734375" style="4" customWidth="1"/>
    <col min="2054" max="2056" width="9" style="4"/>
    <col min="2057" max="2057" width="2.77734375" style="4" customWidth="1"/>
    <col min="2058" max="2060" width="9" style="4"/>
    <col min="2061" max="2062" width="3.6640625" style="4" customWidth="1"/>
    <col min="2063" max="2064" width="9" style="4"/>
    <col min="2065" max="2065" width="2.77734375" style="4" customWidth="1"/>
    <col min="2066" max="2066" width="9" style="4"/>
    <col min="2067" max="2067" width="6.44140625" style="4" customWidth="1"/>
    <col min="2068" max="2304" width="9" style="4"/>
    <col min="2305" max="2305" width="3.6640625" style="4" customWidth="1"/>
    <col min="2306" max="2306" width="9.88671875" style="4" customWidth="1"/>
    <col min="2307" max="2307" width="4.109375" style="4" customWidth="1"/>
    <col min="2308" max="2308" width="9" style="4"/>
    <col min="2309" max="2309" width="2.77734375" style="4" customWidth="1"/>
    <col min="2310" max="2312" width="9" style="4"/>
    <col min="2313" max="2313" width="2.77734375" style="4" customWidth="1"/>
    <col min="2314" max="2316" width="9" style="4"/>
    <col min="2317" max="2318" width="3.6640625" style="4" customWidth="1"/>
    <col min="2319" max="2320" width="9" style="4"/>
    <col min="2321" max="2321" width="2.77734375" style="4" customWidth="1"/>
    <col min="2322" max="2322" width="9" style="4"/>
    <col min="2323" max="2323" width="6.44140625" style="4" customWidth="1"/>
    <col min="2324" max="2560" width="9" style="4"/>
    <col min="2561" max="2561" width="3.6640625" style="4" customWidth="1"/>
    <col min="2562" max="2562" width="9.88671875" style="4" customWidth="1"/>
    <col min="2563" max="2563" width="4.109375" style="4" customWidth="1"/>
    <col min="2564" max="2564" width="9" style="4"/>
    <col min="2565" max="2565" width="2.77734375" style="4" customWidth="1"/>
    <col min="2566" max="2568" width="9" style="4"/>
    <col min="2569" max="2569" width="2.77734375" style="4" customWidth="1"/>
    <col min="2570" max="2572" width="9" style="4"/>
    <col min="2573" max="2574" width="3.6640625" style="4" customWidth="1"/>
    <col min="2575" max="2576" width="9" style="4"/>
    <col min="2577" max="2577" width="2.77734375" style="4" customWidth="1"/>
    <col min="2578" max="2578" width="9" style="4"/>
    <col min="2579" max="2579" width="6.44140625" style="4" customWidth="1"/>
    <col min="2580" max="2816" width="9" style="4"/>
    <col min="2817" max="2817" width="3.6640625" style="4" customWidth="1"/>
    <col min="2818" max="2818" width="9.88671875" style="4" customWidth="1"/>
    <col min="2819" max="2819" width="4.109375" style="4" customWidth="1"/>
    <col min="2820" max="2820" width="9" style="4"/>
    <col min="2821" max="2821" width="2.77734375" style="4" customWidth="1"/>
    <col min="2822" max="2824" width="9" style="4"/>
    <col min="2825" max="2825" width="2.77734375" style="4" customWidth="1"/>
    <col min="2826" max="2828" width="9" style="4"/>
    <col min="2829" max="2830" width="3.6640625" style="4" customWidth="1"/>
    <col min="2831" max="2832" width="9" style="4"/>
    <col min="2833" max="2833" width="2.77734375" style="4" customWidth="1"/>
    <col min="2834" max="2834" width="9" style="4"/>
    <col min="2835" max="2835" width="6.44140625" style="4" customWidth="1"/>
    <col min="2836" max="3072" width="9" style="4"/>
    <col min="3073" max="3073" width="3.6640625" style="4" customWidth="1"/>
    <col min="3074" max="3074" width="9.88671875" style="4" customWidth="1"/>
    <col min="3075" max="3075" width="4.109375" style="4" customWidth="1"/>
    <col min="3076" max="3076" width="9" style="4"/>
    <col min="3077" max="3077" width="2.77734375" style="4" customWidth="1"/>
    <col min="3078" max="3080" width="9" style="4"/>
    <col min="3081" max="3081" width="2.77734375" style="4" customWidth="1"/>
    <col min="3082" max="3084" width="9" style="4"/>
    <col min="3085" max="3086" width="3.6640625" style="4" customWidth="1"/>
    <col min="3087" max="3088" width="9" style="4"/>
    <col min="3089" max="3089" width="2.77734375" style="4" customWidth="1"/>
    <col min="3090" max="3090" width="9" style="4"/>
    <col min="3091" max="3091" width="6.44140625" style="4" customWidth="1"/>
    <col min="3092" max="3328" width="9" style="4"/>
    <col min="3329" max="3329" width="3.6640625" style="4" customWidth="1"/>
    <col min="3330" max="3330" width="9.88671875" style="4" customWidth="1"/>
    <col min="3331" max="3331" width="4.109375" style="4" customWidth="1"/>
    <col min="3332" max="3332" width="9" style="4"/>
    <col min="3333" max="3333" width="2.77734375" style="4" customWidth="1"/>
    <col min="3334" max="3336" width="9" style="4"/>
    <col min="3337" max="3337" width="2.77734375" style="4" customWidth="1"/>
    <col min="3338" max="3340" width="9" style="4"/>
    <col min="3341" max="3342" width="3.6640625" style="4" customWidth="1"/>
    <col min="3343" max="3344" width="9" style="4"/>
    <col min="3345" max="3345" width="2.77734375" style="4" customWidth="1"/>
    <col min="3346" max="3346" width="9" style="4"/>
    <col min="3347" max="3347" width="6.44140625" style="4" customWidth="1"/>
    <col min="3348" max="3584" width="9" style="4"/>
    <col min="3585" max="3585" width="3.6640625" style="4" customWidth="1"/>
    <col min="3586" max="3586" width="9.88671875" style="4" customWidth="1"/>
    <col min="3587" max="3587" width="4.109375" style="4" customWidth="1"/>
    <col min="3588" max="3588" width="9" style="4"/>
    <col min="3589" max="3589" width="2.77734375" style="4" customWidth="1"/>
    <col min="3590" max="3592" width="9" style="4"/>
    <col min="3593" max="3593" width="2.77734375" style="4" customWidth="1"/>
    <col min="3594" max="3596" width="9" style="4"/>
    <col min="3597" max="3598" width="3.6640625" style="4" customWidth="1"/>
    <col min="3599" max="3600" width="9" style="4"/>
    <col min="3601" max="3601" width="2.77734375" style="4" customWidth="1"/>
    <col min="3602" max="3602" width="9" style="4"/>
    <col min="3603" max="3603" width="6.44140625" style="4" customWidth="1"/>
    <col min="3604" max="3840" width="9" style="4"/>
    <col min="3841" max="3841" width="3.6640625" style="4" customWidth="1"/>
    <col min="3842" max="3842" width="9.88671875" style="4" customWidth="1"/>
    <col min="3843" max="3843" width="4.109375" style="4" customWidth="1"/>
    <col min="3844" max="3844" width="9" style="4"/>
    <col min="3845" max="3845" width="2.77734375" style="4" customWidth="1"/>
    <col min="3846" max="3848" width="9" style="4"/>
    <col min="3849" max="3849" width="2.77734375" style="4" customWidth="1"/>
    <col min="3850" max="3852" width="9" style="4"/>
    <col min="3853" max="3854" width="3.6640625" style="4" customWidth="1"/>
    <col min="3855" max="3856" width="9" style="4"/>
    <col min="3857" max="3857" width="2.77734375" style="4" customWidth="1"/>
    <col min="3858" max="3858" width="9" style="4"/>
    <col min="3859" max="3859" width="6.44140625" style="4" customWidth="1"/>
    <col min="3860" max="4096" width="9" style="4"/>
    <col min="4097" max="4097" width="3.6640625" style="4" customWidth="1"/>
    <col min="4098" max="4098" width="9.88671875" style="4" customWidth="1"/>
    <col min="4099" max="4099" width="4.109375" style="4" customWidth="1"/>
    <col min="4100" max="4100" width="9" style="4"/>
    <col min="4101" max="4101" width="2.77734375" style="4" customWidth="1"/>
    <col min="4102" max="4104" width="9" style="4"/>
    <col min="4105" max="4105" width="2.77734375" style="4" customWidth="1"/>
    <col min="4106" max="4108" width="9" style="4"/>
    <col min="4109" max="4110" width="3.6640625" style="4" customWidth="1"/>
    <col min="4111" max="4112" width="9" style="4"/>
    <col min="4113" max="4113" width="2.77734375" style="4" customWidth="1"/>
    <col min="4114" max="4114" width="9" style="4"/>
    <col min="4115" max="4115" width="6.44140625" style="4" customWidth="1"/>
    <col min="4116" max="4352" width="9" style="4"/>
    <col min="4353" max="4353" width="3.6640625" style="4" customWidth="1"/>
    <col min="4354" max="4354" width="9.88671875" style="4" customWidth="1"/>
    <col min="4355" max="4355" width="4.109375" style="4" customWidth="1"/>
    <col min="4356" max="4356" width="9" style="4"/>
    <col min="4357" max="4357" width="2.77734375" style="4" customWidth="1"/>
    <col min="4358" max="4360" width="9" style="4"/>
    <col min="4361" max="4361" width="2.77734375" style="4" customWidth="1"/>
    <col min="4362" max="4364" width="9" style="4"/>
    <col min="4365" max="4366" width="3.6640625" style="4" customWidth="1"/>
    <col min="4367" max="4368" width="9" style="4"/>
    <col min="4369" max="4369" width="2.77734375" style="4" customWidth="1"/>
    <col min="4370" max="4370" width="9" style="4"/>
    <col min="4371" max="4371" width="6.44140625" style="4" customWidth="1"/>
    <col min="4372" max="4608" width="9" style="4"/>
    <col min="4609" max="4609" width="3.6640625" style="4" customWidth="1"/>
    <col min="4610" max="4610" width="9.88671875" style="4" customWidth="1"/>
    <col min="4611" max="4611" width="4.109375" style="4" customWidth="1"/>
    <col min="4612" max="4612" width="9" style="4"/>
    <col min="4613" max="4613" width="2.77734375" style="4" customWidth="1"/>
    <col min="4614" max="4616" width="9" style="4"/>
    <col min="4617" max="4617" width="2.77734375" style="4" customWidth="1"/>
    <col min="4618" max="4620" width="9" style="4"/>
    <col min="4621" max="4622" width="3.6640625" style="4" customWidth="1"/>
    <col min="4623" max="4624" width="9" style="4"/>
    <col min="4625" max="4625" width="2.77734375" style="4" customWidth="1"/>
    <col min="4626" max="4626" width="9" style="4"/>
    <col min="4627" max="4627" width="6.44140625" style="4" customWidth="1"/>
    <col min="4628" max="4864" width="9" style="4"/>
    <col min="4865" max="4865" width="3.6640625" style="4" customWidth="1"/>
    <col min="4866" max="4866" width="9.88671875" style="4" customWidth="1"/>
    <col min="4867" max="4867" width="4.109375" style="4" customWidth="1"/>
    <col min="4868" max="4868" width="9" style="4"/>
    <col min="4869" max="4869" width="2.77734375" style="4" customWidth="1"/>
    <col min="4870" max="4872" width="9" style="4"/>
    <col min="4873" max="4873" width="2.77734375" style="4" customWidth="1"/>
    <col min="4874" max="4876" width="9" style="4"/>
    <col min="4877" max="4878" width="3.6640625" style="4" customWidth="1"/>
    <col min="4879" max="4880" width="9" style="4"/>
    <col min="4881" max="4881" width="2.77734375" style="4" customWidth="1"/>
    <col min="4882" max="4882" width="9" style="4"/>
    <col min="4883" max="4883" width="6.44140625" style="4" customWidth="1"/>
    <col min="4884" max="5120" width="9" style="4"/>
    <col min="5121" max="5121" width="3.6640625" style="4" customWidth="1"/>
    <col min="5122" max="5122" width="9.88671875" style="4" customWidth="1"/>
    <col min="5123" max="5123" width="4.109375" style="4" customWidth="1"/>
    <col min="5124" max="5124" width="9" style="4"/>
    <col min="5125" max="5125" width="2.77734375" style="4" customWidth="1"/>
    <col min="5126" max="5128" width="9" style="4"/>
    <col min="5129" max="5129" width="2.77734375" style="4" customWidth="1"/>
    <col min="5130" max="5132" width="9" style="4"/>
    <col min="5133" max="5134" width="3.6640625" style="4" customWidth="1"/>
    <col min="5135" max="5136" width="9" style="4"/>
    <col min="5137" max="5137" width="2.77734375" style="4" customWidth="1"/>
    <col min="5138" max="5138" width="9" style="4"/>
    <col min="5139" max="5139" width="6.44140625" style="4" customWidth="1"/>
    <col min="5140" max="5376" width="9" style="4"/>
    <col min="5377" max="5377" width="3.6640625" style="4" customWidth="1"/>
    <col min="5378" max="5378" width="9.88671875" style="4" customWidth="1"/>
    <col min="5379" max="5379" width="4.109375" style="4" customWidth="1"/>
    <col min="5380" max="5380" width="9" style="4"/>
    <col min="5381" max="5381" width="2.77734375" style="4" customWidth="1"/>
    <col min="5382" max="5384" width="9" style="4"/>
    <col min="5385" max="5385" width="2.77734375" style="4" customWidth="1"/>
    <col min="5386" max="5388" width="9" style="4"/>
    <col min="5389" max="5390" width="3.6640625" style="4" customWidth="1"/>
    <col min="5391" max="5392" width="9" style="4"/>
    <col min="5393" max="5393" width="2.77734375" style="4" customWidth="1"/>
    <col min="5394" max="5394" width="9" style="4"/>
    <col min="5395" max="5395" width="6.44140625" style="4" customWidth="1"/>
    <col min="5396" max="5632" width="9" style="4"/>
    <col min="5633" max="5633" width="3.6640625" style="4" customWidth="1"/>
    <col min="5634" max="5634" width="9.88671875" style="4" customWidth="1"/>
    <col min="5635" max="5635" width="4.109375" style="4" customWidth="1"/>
    <col min="5636" max="5636" width="9" style="4"/>
    <col min="5637" max="5637" width="2.77734375" style="4" customWidth="1"/>
    <col min="5638" max="5640" width="9" style="4"/>
    <col min="5641" max="5641" width="2.77734375" style="4" customWidth="1"/>
    <col min="5642" max="5644" width="9" style="4"/>
    <col min="5645" max="5646" width="3.6640625" style="4" customWidth="1"/>
    <col min="5647" max="5648" width="9" style="4"/>
    <col min="5649" max="5649" width="2.77734375" style="4" customWidth="1"/>
    <col min="5650" max="5650" width="9" style="4"/>
    <col min="5651" max="5651" width="6.44140625" style="4" customWidth="1"/>
    <col min="5652" max="5888" width="9" style="4"/>
    <col min="5889" max="5889" width="3.6640625" style="4" customWidth="1"/>
    <col min="5890" max="5890" width="9.88671875" style="4" customWidth="1"/>
    <col min="5891" max="5891" width="4.109375" style="4" customWidth="1"/>
    <col min="5892" max="5892" width="9" style="4"/>
    <col min="5893" max="5893" width="2.77734375" style="4" customWidth="1"/>
    <col min="5894" max="5896" width="9" style="4"/>
    <col min="5897" max="5897" width="2.77734375" style="4" customWidth="1"/>
    <col min="5898" max="5900" width="9" style="4"/>
    <col min="5901" max="5902" width="3.6640625" style="4" customWidth="1"/>
    <col min="5903" max="5904" width="9" style="4"/>
    <col min="5905" max="5905" width="2.77734375" style="4" customWidth="1"/>
    <col min="5906" max="5906" width="9" style="4"/>
    <col min="5907" max="5907" width="6.44140625" style="4" customWidth="1"/>
    <col min="5908" max="6144" width="9" style="4"/>
    <col min="6145" max="6145" width="3.6640625" style="4" customWidth="1"/>
    <col min="6146" max="6146" width="9.88671875" style="4" customWidth="1"/>
    <col min="6147" max="6147" width="4.109375" style="4" customWidth="1"/>
    <col min="6148" max="6148" width="9" style="4"/>
    <col min="6149" max="6149" width="2.77734375" style="4" customWidth="1"/>
    <col min="6150" max="6152" width="9" style="4"/>
    <col min="6153" max="6153" width="2.77734375" style="4" customWidth="1"/>
    <col min="6154" max="6156" width="9" style="4"/>
    <col min="6157" max="6158" width="3.6640625" style="4" customWidth="1"/>
    <col min="6159" max="6160" width="9" style="4"/>
    <col min="6161" max="6161" width="2.77734375" style="4" customWidth="1"/>
    <col min="6162" max="6162" width="9" style="4"/>
    <col min="6163" max="6163" width="6.44140625" style="4" customWidth="1"/>
    <col min="6164" max="6400" width="9" style="4"/>
    <col min="6401" max="6401" width="3.6640625" style="4" customWidth="1"/>
    <col min="6402" max="6402" width="9.88671875" style="4" customWidth="1"/>
    <col min="6403" max="6403" width="4.109375" style="4" customWidth="1"/>
    <col min="6404" max="6404" width="9" style="4"/>
    <col min="6405" max="6405" width="2.77734375" style="4" customWidth="1"/>
    <col min="6406" max="6408" width="9" style="4"/>
    <col min="6409" max="6409" width="2.77734375" style="4" customWidth="1"/>
    <col min="6410" max="6412" width="9" style="4"/>
    <col min="6413" max="6414" width="3.6640625" style="4" customWidth="1"/>
    <col min="6415" max="6416" width="9" style="4"/>
    <col min="6417" max="6417" width="2.77734375" style="4" customWidth="1"/>
    <col min="6418" max="6418" width="9" style="4"/>
    <col min="6419" max="6419" width="6.44140625" style="4" customWidth="1"/>
    <col min="6420" max="6656" width="9" style="4"/>
    <col min="6657" max="6657" width="3.6640625" style="4" customWidth="1"/>
    <col min="6658" max="6658" width="9.88671875" style="4" customWidth="1"/>
    <col min="6659" max="6659" width="4.109375" style="4" customWidth="1"/>
    <col min="6660" max="6660" width="9" style="4"/>
    <col min="6661" max="6661" width="2.77734375" style="4" customWidth="1"/>
    <col min="6662" max="6664" width="9" style="4"/>
    <col min="6665" max="6665" width="2.77734375" style="4" customWidth="1"/>
    <col min="6666" max="6668" width="9" style="4"/>
    <col min="6669" max="6670" width="3.6640625" style="4" customWidth="1"/>
    <col min="6671" max="6672" width="9" style="4"/>
    <col min="6673" max="6673" width="2.77734375" style="4" customWidth="1"/>
    <col min="6674" max="6674" width="9" style="4"/>
    <col min="6675" max="6675" width="6.44140625" style="4" customWidth="1"/>
    <col min="6676" max="6912" width="9" style="4"/>
    <col min="6913" max="6913" width="3.6640625" style="4" customWidth="1"/>
    <col min="6914" max="6914" width="9.88671875" style="4" customWidth="1"/>
    <col min="6915" max="6915" width="4.109375" style="4" customWidth="1"/>
    <col min="6916" max="6916" width="9" style="4"/>
    <col min="6917" max="6917" width="2.77734375" style="4" customWidth="1"/>
    <col min="6918" max="6920" width="9" style="4"/>
    <col min="6921" max="6921" width="2.77734375" style="4" customWidth="1"/>
    <col min="6922" max="6924" width="9" style="4"/>
    <col min="6925" max="6926" width="3.6640625" style="4" customWidth="1"/>
    <col min="6927" max="6928" width="9" style="4"/>
    <col min="6929" max="6929" width="2.77734375" style="4" customWidth="1"/>
    <col min="6930" max="6930" width="9" style="4"/>
    <col min="6931" max="6931" width="6.44140625" style="4" customWidth="1"/>
    <col min="6932" max="7168" width="9" style="4"/>
    <col min="7169" max="7169" width="3.6640625" style="4" customWidth="1"/>
    <col min="7170" max="7170" width="9.88671875" style="4" customWidth="1"/>
    <col min="7171" max="7171" width="4.109375" style="4" customWidth="1"/>
    <col min="7172" max="7172" width="9" style="4"/>
    <col min="7173" max="7173" width="2.77734375" style="4" customWidth="1"/>
    <col min="7174" max="7176" width="9" style="4"/>
    <col min="7177" max="7177" width="2.77734375" style="4" customWidth="1"/>
    <col min="7178" max="7180" width="9" style="4"/>
    <col min="7181" max="7182" width="3.6640625" style="4" customWidth="1"/>
    <col min="7183" max="7184" width="9" style="4"/>
    <col min="7185" max="7185" width="2.77734375" style="4" customWidth="1"/>
    <col min="7186" max="7186" width="9" style="4"/>
    <col min="7187" max="7187" width="6.44140625" style="4" customWidth="1"/>
    <col min="7188" max="7424" width="9" style="4"/>
    <col min="7425" max="7425" width="3.6640625" style="4" customWidth="1"/>
    <col min="7426" max="7426" width="9.88671875" style="4" customWidth="1"/>
    <col min="7427" max="7427" width="4.109375" style="4" customWidth="1"/>
    <col min="7428" max="7428" width="9" style="4"/>
    <col min="7429" max="7429" width="2.77734375" style="4" customWidth="1"/>
    <col min="7430" max="7432" width="9" style="4"/>
    <col min="7433" max="7433" width="2.77734375" style="4" customWidth="1"/>
    <col min="7434" max="7436" width="9" style="4"/>
    <col min="7437" max="7438" width="3.6640625" style="4" customWidth="1"/>
    <col min="7439" max="7440" width="9" style="4"/>
    <col min="7441" max="7441" width="2.77734375" style="4" customWidth="1"/>
    <col min="7442" max="7442" width="9" style="4"/>
    <col min="7443" max="7443" width="6.44140625" style="4" customWidth="1"/>
    <col min="7444" max="7680" width="9" style="4"/>
    <col min="7681" max="7681" width="3.6640625" style="4" customWidth="1"/>
    <col min="7682" max="7682" width="9.88671875" style="4" customWidth="1"/>
    <col min="7683" max="7683" width="4.109375" style="4" customWidth="1"/>
    <col min="7684" max="7684" width="9" style="4"/>
    <col min="7685" max="7685" width="2.77734375" style="4" customWidth="1"/>
    <col min="7686" max="7688" width="9" style="4"/>
    <col min="7689" max="7689" width="2.77734375" style="4" customWidth="1"/>
    <col min="7690" max="7692" width="9" style="4"/>
    <col min="7693" max="7694" width="3.6640625" style="4" customWidth="1"/>
    <col min="7695" max="7696" width="9" style="4"/>
    <col min="7697" max="7697" width="2.77734375" style="4" customWidth="1"/>
    <col min="7698" max="7698" width="9" style="4"/>
    <col min="7699" max="7699" width="6.44140625" style="4" customWidth="1"/>
    <col min="7700" max="7936" width="9" style="4"/>
    <col min="7937" max="7937" width="3.6640625" style="4" customWidth="1"/>
    <col min="7938" max="7938" width="9.88671875" style="4" customWidth="1"/>
    <col min="7939" max="7939" width="4.109375" style="4" customWidth="1"/>
    <col min="7940" max="7940" width="9" style="4"/>
    <col min="7941" max="7941" width="2.77734375" style="4" customWidth="1"/>
    <col min="7942" max="7944" width="9" style="4"/>
    <col min="7945" max="7945" width="2.77734375" style="4" customWidth="1"/>
    <col min="7946" max="7948" width="9" style="4"/>
    <col min="7949" max="7950" width="3.6640625" style="4" customWidth="1"/>
    <col min="7951" max="7952" width="9" style="4"/>
    <col min="7953" max="7953" width="2.77734375" style="4" customWidth="1"/>
    <col min="7954" max="7954" width="9" style="4"/>
    <col min="7955" max="7955" width="6.44140625" style="4" customWidth="1"/>
    <col min="7956" max="8192" width="9" style="4"/>
    <col min="8193" max="8193" width="3.6640625" style="4" customWidth="1"/>
    <col min="8194" max="8194" width="9.88671875" style="4" customWidth="1"/>
    <col min="8195" max="8195" width="4.109375" style="4" customWidth="1"/>
    <col min="8196" max="8196" width="9" style="4"/>
    <col min="8197" max="8197" width="2.77734375" style="4" customWidth="1"/>
    <col min="8198" max="8200" width="9" style="4"/>
    <col min="8201" max="8201" width="2.77734375" style="4" customWidth="1"/>
    <col min="8202" max="8204" width="9" style="4"/>
    <col min="8205" max="8206" width="3.6640625" style="4" customWidth="1"/>
    <col min="8207" max="8208" width="9" style="4"/>
    <col min="8209" max="8209" width="2.77734375" style="4" customWidth="1"/>
    <col min="8210" max="8210" width="9" style="4"/>
    <col min="8211" max="8211" width="6.44140625" style="4" customWidth="1"/>
    <col min="8212" max="8448" width="9" style="4"/>
    <col min="8449" max="8449" width="3.6640625" style="4" customWidth="1"/>
    <col min="8450" max="8450" width="9.88671875" style="4" customWidth="1"/>
    <col min="8451" max="8451" width="4.109375" style="4" customWidth="1"/>
    <col min="8452" max="8452" width="9" style="4"/>
    <col min="8453" max="8453" width="2.77734375" style="4" customWidth="1"/>
    <col min="8454" max="8456" width="9" style="4"/>
    <col min="8457" max="8457" width="2.77734375" style="4" customWidth="1"/>
    <col min="8458" max="8460" width="9" style="4"/>
    <col min="8461" max="8462" width="3.6640625" style="4" customWidth="1"/>
    <col min="8463" max="8464" width="9" style="4"/>
    <col min="8465" max="8465" width="2.77734375" style="4" customWidth="1"/>
    <col min="8466" max="8466" width="9" style="4"/>
    <col min="8467" max="8467" width="6.44140625" style="4" customWidth="1"/>
    <col min="8468" max="8704" width="9" style="4"/>
    <col min="8705" max="8705" width="3.6640625" style="4" customWidth="1"/>
    <col min="8706" max="8706" width="9.88671875" style="4" customWidth="1"/>
    <col min="8707" max="8707" width="4.109375" style="4" customWidth="1"/>
    <col min="8708" max="8708" width="9" style="4"/>
    <col min="8709" max="8709" width="2.77734375" style="4" customWidth="1"/>
    <col min="8710" max="8712" width="9" style="4"/>
    <col min="8713" max="8713" width="2.77734375" style="4" customWidth="1"/>
    <col min="8714" max="8716" width="9" style="4"/>
    <col min="8717" max="8718" width="3.6640625" style="4" customWidth="1"/>
    <col min="8719" max="8720" width="9" style="4"/>
    <col min="8721" max="8721" width="2.77734375" style="4" customWidth="1"/>
    <col min="8722" max="8722" width="9" style="4"/>
    <col min="8723" max="8723" width="6.44140625" style="4" customWidth="1"/>
    <col min="8724" max="8960" width="9" style="4"/>
    <col min="8961" max="8961" width="3.6640625" style="4" customWidth="1"/>
    <col min="8962" max="8962" width="9.88671875" style="4" customWidth="1"/>
    <col min="8963" max="8963" width="4.109375" style="4" customWidth="1"/>
    <col min="8964" max="8964" width="9" style="4"/>
    <col min="8965" max="8965" width="2.77734375" style="4" customWidth="1"/>
    <col min="8966" max="8968" width="9" style="4"/>
    <col min="8969" max="8969" width="2.77734375" style="4" customWidth="1"/>
    <col min="8970" max="8972" width="9" style="4"/>
    <col min="8973" max="8974" width="3.6640625" style="4" customWidth="1"/>
    <col min="8975" max="8976" width="9" style="4"/>
    <col min="8977" max="8977" width="2.77734375" style="4" customWidth="1"/>
    <col min="8978" max="8978" width="9" style="4"/>
    <col min="8979" max="8979" width="6.44140625" style="4" customWidth="1"/>
    <col min="8980" max="9216" width="9" style="4"/>
    <col min="9217" max="9217" width="3.6640625" style="4" customWidth="1"/>
    <col min="9218" max="9218" width="9.88671875" style="4" customWidth="1"/>
    <col min="9219" max="9219" width="4.109375" style="4" customWidth="1"/>
    <col min="9220" max="9220" width="9" style="4"/>
    <col min="9221" max="9221" width="2.77734375" style="4" customWidth="1"/>
    <col min="9222" max="9224" width="9" style="4"/>
    <col min="9225" max="9225" width="2.77734375" style="4" customWidth="1"/>
    <col min="9226" max="9228" width="9" style="4"/>
    <col min="9229" max="9230" width="3.6640625" style="4" customWidth="1"/>
    <col min="9231" max="9232" width="9" style="4"/>
    <col min="9233" max="9233" width="2.77734375" style="4" customWidth="1"/>
    <col min="9234" max="9234" width="9" style="4"/>
    <col min="9235" max="9235" width="6.44140625" style="4" customWidth="1"/>
    <col min="9236" max="9472" width="9" style="4"/>
    <col min="9473" max="9473" width="3.6640625" style="4" customWidth="1"/>
    <col min="9474" max="9474" width="9.88671875" style="4" customWidth="1"/>
    <col min="9475" max="9475" width="4.109375" style="4" customWidth="1"/>
    <col min="9476" max="9476" width="9" style="4"/>
    <col min="9477" max="9477" width="2.77734375" style="4" customWidth="1"/>
    <col min="9478" max="9480" width="9" style="4"/>
    <col min="9481" max="9481" width="2.77734375" style="4" customWidth="1"/>
    <col min="9482" max="9484" width="9" style="4"/>
    <col min="9485" max="9486" width="3.6640625" style="4" customWidth="1"/>
    <col min="9487" max="9488" width="9" style="4"/>
    <col min="9489" max="9489" width="2.77734375" style="4" customWidth="1"/>
    <col min="9490" max="9490" width="9" style="4"/>
    <col min="9491" max="9491" width="6.44140625" style="4" customWidth="1"/>
    <col min="9492" max="9728" width="9" style="4"/>
    <col min="9729" max="9729" width="3.6640625" style="4" customWidth="1"/>
    <col min="9730" max="9730" width="9.88671875" style="4" customWidth="1"/>
    <col min="9731" max="9731" width="4.109375" style="4" customWidth="1"/>
    <col min="9732" max="9732" width="9" style="4"/>
    <col min="9733" max="9733" width="2.77734375" style="4" customWidth="1"/>
    <col min="9734" max="9736" width="9" style="4"/>
    <col min="9737" max="9737" width="2.77734375" style="4" customWidth="1"/>
    <col min="9738" max="9740" width="9" style="4"/>
    <col min="9741" max="9742" width="3.6640625" style="4" customWidth="1"/>
    <col min="9743" max="9744" width="9" style="4"/>
    <col min="9745" max="9745" width="2.77734375" style="4" customWidth="1"/>
    <col min="9746" max="9746" width="9" style="4"/>
    <col min="9747" max="9747" width="6.44140625" style="4" customWidth="1"/>
    <col min="9748" max="9984" width="9" style="4"/>
    <col min="9985" max="9985" width="3.6640625" style="4" customWidth="1"/>
    <col min="9986" max="9986" width="9.88671875" style="4" customWidth="1"/>
    <col min="9987" max="9987" width="4.109375" style="4" customWidth="1"/>
    <col min="9988" max="9988" width="9" style="4"/>
    <col min="9989" max="9989" width="2.77734375" style="4" customWidth="1"/>
    <col min="9990" max="9992" width="9" style="4"/>
    <col min="9993" max="9993" width="2.77734375" style="4" customWidth="1"/>
    <col min="9994" max="9996" width="9" style="4"/>
    <col min="9997" max="9998" width="3.6640625" style="4" customWidth="1"/>
    <col min="9999" max="10000" width="9" style="4"/>
    <col min="10001" max="10001" width="2.77734375" style="4" customWidth="1"/>
    <col min="10002" max="10002" width="9" style="4"/>
    <col min="10003" max="10003" width="6.44140625" style="4" customWidth="1"/>
    <col min="10004" max="10240" width="9" style="4"/>
    <col min="10241" max="10241" width="3.6640625" style="4" customWidth="1"/>
    <col min="10242" max="10242" width="9.88671875" style="4" customWidth="1"/>
    <col min="10243" max="10243" width="4.109375" style="4" customWidth="1"/>
    <col min="10244" max="10244" width="9" style="4"/>
    <col min="10245" max="10245" width="2.77734375" style="4" customWidth="1"/>
    <col min="10246" max="10248" width="9" style="4"/>
    <col min="10249" max="10249" width="2.77734375" style="4" customWidth="1"/>
    <col min="10250" max="10252" width="9" style="4"/>
    <col min="10253" max="10254" width="3.6640625" style="4" customWidth="1"/>
    <col min="10255" max="10256" width="9" style="4"/>
    <col min="10257" max="10257" width="2.77734375" style="4" customWidth="1"/>
    <col min="10258" max="10258" width="9" style="4"/>
    <col min="10259" max="10259" width="6.44140625" style="4" customWidth="1"/>
    <col min="10260" max="10496" width="9" style="4"/>
    <col min="10497" max="10497" width="3.6640625" style="4" customWidth="1"/>
    <col min="10498" max="10498" width="9.88671875" style="4" customWidth="1"/>
    <col min="10499" max="10499" width="4.109375" style="4" customWidth="1"/>
    <col min="10500" max="10500" width="9" style="4"/>
    <col min="10501" max="10501" width="2.77734375" style="4" customWidth="1"/>
    <col min="10502" max="10504" width="9" style="4"/>
    <col min="10505" max="10505" width="2.77734375" style="4" customWidth="1"/>
    <col min="10506" max="10508" width="9" style="4"/>
    <col min="10509" max="10510" width="3.6640625" style="4" customWidth="1"/>
    <col min="10511" max="10512" width="9" style="4"/>
    <col min="10513" max="10513" width="2.77734375" style="4" customWidth="1"/>
    <col min="10514" max="10514" width="9" style="4"/>
    <col min="10515" max="10515" width="6.44140625" style="4" customWidth="1"/>
    <col min="10516" max="10752" width="9" style="4"/>
    <col min="10753" max="10753" width="3.6640625" style="4" customWidth="1"/>
    <col min="10754" max="10754" width="9.88671875" style="4" customWidth="1"/>
    <col min="10755" max="10755" width="4.109375" style="4" customWidth="1"/>
    <col min="10756" max="10756" width="9" style="4"/>
    <col min="10757" max="10757" width="2.77734375" style="4" customWidth="1"/>
    <col min="10758" max="10760" width="9" style="4"/>
    <col min="10761" max="10761" width="2.77734375" style="4" customWidth="1"/>
    <col min="10762" max="10764" width="9" style="4"/>
    <col min="10765" max="10766" width="3.6640625" style="4" customWidth="1"/>
    <col min="10767" max="10768" width="9" style="4"/>
    <col min="10769" max="10769" width="2.77734375" style="4" customWidth="1"/>
    <col min="10770" max="10770" width="9" style="4"/>
    <col min="10771" max="10771" width="6.44140625" style="4" customWidth="1"/>
    <col min="10772" max="11008" width="9" style="4"/>
    <col min="11009" max="11009" width="3.6640625" style="4" customWidth="1"/>
    <col min="11010" max="11010" width="9.88671875" style="4" customWidth="1"/>
    <col min="11011" max="11011" width="4.109375" style="4" customWidth="1"/>
    <col min="11012" max="11012" width="9" style="4"/>
    <col min="11013" max="11013" width="2.77734375" style="4" customWidth="1"/>
    <col min="11014" max="11016" width="9" style="4"/>
    <col min="11017" max="11017" width="2.77734375" style="4" customWidth="1"/>
    <col min="11018" max="11020" width="9" style="4"/>
    <col min="11021" max="11022" width="3.6640625" style="4" customWidth="1"/>
    <col min="11023" max="11024" width="9" style="4"/>
    <col min="11025" max="11025" width="2.77734375" style="4" customWidth="1"/>
    <col min="11026" max="11026" width="9" style="4"/>
    <col min="11027" max="11027" width="6.44140625" style="4" customWidth="1"/>
    <col min="11028" max="11264" width="9" style="4"/>
    <col min="11265" max="11265" width="3.6640625" style="4" customWidth="1"/>
    <col min="11266" max="11266" width="9.88671875" style="4" customWidth="1"/>
    <col min="11267" max="11267" width="4.109375" style="4" customWidth="1"/>
    <col min="11268" max="11268" width="9" style="4"/>
    <col min="11269" max="11269" width="2.77734375" style="4" customWidth="1"/>
    <col min="11270" max="11272" width="9" style="4"/>
    <col min="11273" max="11273" width="2.77734375" style="4" customWidth="1"/>
    <col min="11274" max="11276" width="9" style="4"/>
    <col min="11277" max="11278" width="3.6640625" style="4" customWidth="1"/>
    <col min="11279" max="11280" width="9" style="4"/>
    <col min="11281" max="11281" width="2.77734375" style="4" customWidth="1"/>
    <col min="11282" max="11282" width="9" style="4"/>
    <col min="11283" max="11283" width="6.44140625" style="4" customWidth="1"/>
    <col min="11284" max="11520" width="9" style="4"/>
    <col min="11521" max="11521" width="3.6640625" style="4" customWidth="1"/>
    <col min="11522" max="11522" width="9.88671875" style="4" customWidth="1"/>
    <col min="11523" max="11523" width="4.109375" style="4" customWidth="1"/>
    <col min="11524" max="11524" width="9" style="4"/>
    <col min="11525" max="11525" width="2.77734375" style="4" customWidth="1"/>
    <col min="11526" max="11528" width="9" style="4"/>
    <col min="11529" max="11529" width="2.77734375" style="4" customWidth="1"/>
    <col min="11530" max="11532" width="9" style="4"/>
    <col min="11533" max="11534" width="3.6640625" style="4" customWidth="1"/>
    <col min="11535" max="11536" width="9" style="4"/>
    <col min="11537" max="11537" width="2.77734375" style="4" customWidth="1"/>
    <col min="11538" max="11538" width="9" style="4"/>
    <col min="11539" max="11539" width="6.44140625" style="4" customWidth="1"/>
    <col min="11540" max="11776" width="9" style="4"/>
    <col min="11777" max="11777" width="3.6640625" style="4" customWidth="1"/>
    <col min="11778" max="11778" width="9.88671875" style="4" customWidth="1"/>
    <col min="11779" max="11779" width="4.109375" style="4" customWidth="1"/>
    <col min="11780" max="11780" width="9" style="4"/>
    <col min="11781" max="11781" width="2.77734375" style="4" customWidth="1"/>
    <col min="11782" max="11784" width="9" style="4"/>
    <col min="11785" max="11785" width="2.77734375" style="4" customWidth="1"/>
    <col min="11786" max="11788" width="9" style="4"/>
    <col min="11789" max="11790" width="3.6640625" style="4" customWidth="1"/>
    <col min="11791" max="11792" width="9" style="4"/>
    <col min="11793" max="11793" width="2.77734375" style="4" customWidth="1"/>
    <col min="11794" max="11794" width="9" style="4"/>
    <col min="11795" max="11795" width="6.44140625" style="4" customWidth="1"/>
    <col min="11796" max="12032" width="9" style="4"/>
    <col min="12033" max="12033" width="3.6640625" style="4" customWidth="1"/>
    <col min="12034" max="12034" width="9.88671875" style="4" customWidth="1"/>
    <col min="12035" max="12035" width="4.109375" style="4" customWidth="1"/>
    <col min="12036" max="12036" width="9" style="4"/>
    <col min="12037" max="12037" width="2.77734375" style="4" customWidth="1"/>
    <col min="12038" max="12040" width="9" style="4"/>
    <col min="12041" max="12041" width="2.77734375" style="4" customWidth="1"/>
    <col min="12042" max="12044" width="9" style="4"/>
    <col min="12045" max="12046" width="3.6640625" style="4" customWidth="1"/>
    <col min="12047" max="12048" width="9" style="4"/>
    <col min="12049" max="12049" width="2.77734375" style="4" customWidth="1"/>
    <col min="12050" max="12050" width="9" style="4"/>
    <col min="12051" max="12051" width="6.44140625" style="4" customWidth="1"/>
    <col min="12052" max="12288" width="9" style="4"/>
    <col min="12289" max="12289" width="3.6640625" style="4" customWidth="1"/>
    <col min="12290" max="12290" width="9.88671875" style="4" customWidth="1"/>
    <col min="12291" max="12291" width="4.109375" style="4" customWidth="1"/>
    <col min="12292" max="12292" width="9" style="4"/>
    <col min="12293" max="12293" width="2.77734375" style="4" customWidth="1"/>
    <col min="12294" max="12296" width="9" style="4"/>
    <col min="12297" max="12297" width="2.77734375" style="4" customWidth="1"/>
    <col min="12298" max="12300" width="9" style="4"/>
    <col min="12301" max="12302" width="3.6640625" style="4" customWidth="1"/>
    <col min="12303" max="12304" width="9" style="4"/>
    <col min="12305" max="12305" width="2.77734375" style="4" customWidth="1"/>
    <col min="12306" max="12306" width="9" style="4"/>
    <col min="12307" max="12307" width="6.44140625" style="4" customWidth="1"/>
    <col min="12308" max="12544" width="9" style="4"/>
    <col min="12545" max="12545" width="3.6640625" style="4" customWidth="1"/>
    <col min="12546" max="12546" width="9.88671875" style="4" customWidth="1"/>
    <col min="12547" max="12547" width="4.109375" style="4" customWidth="1"/>
    <col min="12548" max="12548" width="9" style="4"/>
    <col min="12549" max="12549" width="2.77734375" style="4" customWidth="1"/>
    <col min="12550" max="12552" width="9" style="4"/>
    <col min="12553" max="12553" width="2.77734375" style="4" customWidth="1"/>
    <col min="12554" max="12556" width="9" style="4"/>
    <col min="12557" max="12558" width="3.6640625" style="4" customWidth="1"/>
    <col min="12559" max="12560" width="9" style="4"/>
    <col min="12561" max="12561" width="2.77734375" style="4" customWidth="1"/>
    <col min="12562" max="12562" width="9" style="4"/>
    <col min="12563" max="12563" width="6.44140625" style="4" customWidth="1"/>
    <col min="12564" max="12800" width="9" style="4"/>
    <col min="12801" max="12801" width="3.6640625" style="4" customWidth="1"/>
    <col min="12802" max="12802" width="9.88671875" style="4" customWidth="1"/>
    <col min="12803" max="12803" width="4.109375" style="4" customWidth="1"/>
    <col min="12804" max="12804" width="9" style="4"/>
    <col min="12805" max="12805" width="2.77734375" style="4" customWidth="1"/>
    <col min="12806" max="12808" width="9" style="4"/>
    <col min="12809" max="12809" width="2.77734375" style="4" customWidth="1"/>
    <col min="12810" max="12812" width="9" style="4"/>
    <col min="12813" max="12814" width="3.6640625" style="4" customWidth="1"/>
    <col min="12815" max="12816" width="9" style="4"/>
    <col min="12817" max="12817" width="2.77734375" style="4" customWidth="1"/>
    <col min="12818" max="12818" width="9" style="4"/>
    <col min="12819" max="12819" width="6.44140625" style="4" customWidth="1"/>
    <col min="12820" max="13056" width="9" style="4"/>
    <col min="13057" max="13057" width="3.6640625" style="4" customWidth="1"/>
    <col min="13058" max="13058" width="9.88671875" style="4" customWidth="1"/>
    <col min="13059" max="13059" width="4.109375" style="4" customWidth="1"/>
    <col min="13060" max="13060" width="9" style="4"/>
    <col min="13061" max="13061" width="2.77734375" style="4" customWidth="1"/>
    <col min="13062" max="13064" width="9" style="4"/>
    <col min="13065" max="13065" width="2.77734375" style="4" customWidth="1"/>
    <col min="13066" max="13068" width="9" style="4"/>
    <col min="13069" max="13070" width="3.6640625" style="4" customWidth="1"/>
    <col min="13071" max="13072" width="9" style="4"/>
    <col min="13073" max="13073" width="2.77734375" style="4" customWidth="1"/>
    <col min="13074" max="13074" width="9" style="4"/>
    <col min="13075" max="13075" width="6.44140625" style="4" customWidth="1"/>
    <col min="13076" max="13312" width="9" style="4"/>
    <col min="13313" max="13313" width="3.6640625" style="4" customWidth="1"/>
    <col min="13314" max="13314" width="9.88671875" style="4" customWidth="1"/>
    <col min="13315" max="13315" width="4.109375" style="4" customWidth="1"/>
    <col min="13316" max="13316" width="9" style="4"/>
    <col min="13317" max="13317" width="2.77734375" style="4" customWidth="1"/>
    <col min="13318" max="13320" width="9" style="4"/>
    <col min="13321" max="13321" width="2.77734375" style="4" customWidth="1"/>
    <col min="13322" max="13324" width="9" style="4"/>
    <col min="13325" max="13326" width="3.6640625" style="4" customWidth="1"/>
    <col min="13327" max="13328" width="9" style="4"/>
    <col min="13329" max="13329" width="2.77734375" style="4" customWidth="1"/>
    <col min="13330" max="13330" width="9" style="4"/>
    <col min="13331" max="13331" width="6.44140625" style="4" customWidth="1"/>
    <col min="13332" max="13568" width="9" style="4"/>
    <col min="13569" max="13569" width="3.6640625" style="4" customWidth="1"/>
    <col min="13570" max="13570" width="9.88671875" style="4" customWidth="1"/>
    <col min="13571" max="13571" width="4.109375" style="4" customWidth="1"/>
    <col min="13572" max="13572" width="9" style="4"/>
    <col min="13573" max="13573" width="2.77734375" style="4" customWidth="1"/>
    <col min="13574" max="13576" width="9" style="4"/>
    <col min="13577" max="13577" width="2.77734375" style="4" customWidth="1"/>
    <col min="13578" max="13580" width="9" style="4"/>
    <col min="13581" max="13582" width="3.6640625" style="4" customWidth="1"/>
    <col min="13583" max="13584" width="9" style="4"/>
    <col min="13585" max="13585" width="2.77734375" style="4" customWidth="1"/>
    <col min="13586" max="13586" width="9" style="4"/>
    <col min="13587" max="13587" width="6.44140625" style="4" customWidth="1"/>
    <col min="13588" max="13824" width="9" style="4"/>
    <col min="13825" max="13825" width="3.6640625" style="4" customWidth="1"/>
    <col min="13826" max="13826" width="9.88671875" style="4" customWidth="1"/>
    <col min="13827" max="13827" width="4.109375" style="4" customWidth="1"/>
    <col min="13828" max="13828" width="9" style="4"/>
    <col min="13829" max="13829" width="2.77734375" style="4" customWidth="1"/>
    <col min="13830" max="13832" width="9" style="4"/>
    <col min="13833" max="13833" width="2.77734375" style="4" customWidth="1"/>
    <col min="13834" max="13836" width="9" style="4"/>
    <col min="13837" max="13838" width="3.6640625" style="4" customWidth="1"/>
    <col min="13839" max="13840" width="9" style="4"/>
    <col min="13841" max="13841" width="2.77734375" style="4" customWidth="1"/>
    <col min="13842" max="13842" width="9" style="4"/>
    <col min="13843" max="13843" width="6.44140625" style="4" customWidth="1"/>
    <col min="13844" max="14080" width="9" style="4"/>
    <col min="14081" max="14081" width="3.6640625" style="4" customWidth="1"/>
    <col min="14082" max="14082" width="9.88671875" style="4" customWidth="1"/>
    <col min="14083" max="14083" width="4.109375" style="4" customWidth="1"/>
    <col min="14084" max="14084" width="9" style="4"/>
    <col min="14085" max="14085" width="2.77734375" style="4" customWidth="1"/>
    <col min="14086" max="14088" width="9" style="4"/>
    <col min="14089" max="14089" width="2.77734375" style="4" customWidth="1"/>
    <col min="14090" max="14092" width="9" style="4"/>
    <col min="14093" max="14094" width="3.6640625" style="4" customWidth="1"/>
    <col min="14095" max="14096" width="9" style="4"/>
    <col min="14097" max="14097" width="2.77734375" style="4" customWidth="1"/>
    <col min="14098" max="14098" width="9" style="4"/>
    <col min="14099" max="14099" width="6.44140625" style="4" customWidth="1"/>
    <col min="14100" max="14336" width="9" style="4"/>
    <col min="14337" max="14337" width="3.6640625" style="4" customWidth="1"/>
    <col min="14338" max="14338" width="9.88671875" style="4" customWidth="1"/>
    <col min="14339" max="14339" width="4.109375" style="4" customWidth="1"/>
    <col min="14340" max="14340" width="9" style="4"/>
    <col min="14341" max="14341" width="2.77734375" style="4" customWidth="1"/>
    <col min="14342" max="14344" width="9" style="4"/>
    <col min="14345" max="14345" width="2.77734375" style="4" customWidth="1"/>
    <col min="14346" max="14348" width="9" style="4"/>
    <col min="14349" max="14350" width="3.6640625" style="4" customWidth="1"/>
    <col min="14351" max="14352" width="9" style="4"/>
    <col min="14353" max="14353" width="2.77734375" style="4" customWidth="1"/>
    <col min="14354" max="14354" width="9" style="4"/>
    <col min="14355" max="14355" width="6.44140625" style="4" customWidth="1"/>
    <col min="14356" max="14592" width="9" style="4"/>
    <col min="14593" max="14593" width="3.6640625" style="4" customWidth="1"/>
    <col min="14594" max="14594" width="9.88671875" style="4" customWidth="1"/>
    <col min="14595" max="14595" width="4.109375" style="4" customWidth="1"/>
    <col min="14596" max="14596" width="9" style="4"/>
    <col min="14597" max="14597" width="2.77734375" style="4" customWidth="1"/>
    <col min="14598" max="14600" width="9" style="4"/>
    <col min="14601" max="14601" width="2.77734375" style="4" customWidth="1"/>
    <col min="14602" max="14604" width="9" style="4"/>
    <col min="14605" max="14606" width="3.6640625" style="4" customWidth="1"/>
    <col min="14607" max="14608" width="9" style="4"/>
    <col min="14609" max="14609" width="2.77734375" style="4" customWidth="1"/>
    <col min="14610" max="14610" width="9" style="4"/>
    <col min="14611" max="14611" width="6.44140625" style="4" customWidth="1"/>
    <col min="14612" max="14848" width="9" style="4"/>
    <col min="14849" max="14849" width="3.6640625" style="4" customWidth="1"/>
    <col min="14850" max="14850" width="9.88671875" style="4" customWidth="1"/>
    <col min="14851" max="14851" width="4.109375" style="4" customWidth="1"/>
    <col min="14852" max="14852" width="9" style="4"/>
    <col min="14853" max="14853" width="2.77734375" style="4" customWidth="1"/>
    <col min="14854" max="14856" width="9" style="4"/>
    <col min="14857" max="14857" width="2.77734375" style="4" customWidth="1"/>
    <col min="14858" max="14860" width="9" style="4"/>
    <col min="14861" max="14862" width="3.6640625" style="4" customWidth="1"/>
    <col min="14863" max="14864" width="9" style="4"/>
    <col min="14865" max="14865" width="2.77734375" style="4" customWidth="1"/>
    <col min="14866" max="14866" width="9" style="4"/>
    <col min="14867" max="14867" width="6.44140625" style="4" customWidth="1"/>
    <col min="14868" max="15104" width="9" style="4"/>
    <col min="15105" max="15105" width="3.6640625" style="4" customWidth="1"/>
    <col min="15106" max="15106" width="9.88671875" style="4" customWidth="1"/>
    <col min="15107" max="15107" width="4.109375" style="4" customWidth="1"/>
    <col min="15108" max="15108" width="9" style="4"/>
    <col min="15109" max="15109" width="2.77734375" style="4" customWidth="1"/>
    <col min="15110" max="15112" width="9" style="4"/>
    <col min="15113" max="15113" width="2.77734375" style="4" customWidth="1"/>
    <col min="15114" max="15116" width="9" style="4"/>
    <col min="15117" max="15118" width="3.6640625" style="4" customWidth="1"/>
    <col min="15119" max="15120" width="9" style="4"/>
    <col min="15121" max="15121" width="2.77734375" style="4" customWidth="1"/>
    <col min="15122" max="15122" width="9" style="4"/>
    <col min="15123" max="15123" width="6.44140625" style="4" customWidth="1"/>
    <col min="15124" max="15360" width="9" style="4"/>
    <col min="15361" max="15361" width="3.6640625" style="4" customWidth="1"/>
    <col min="15362" max="15362" width="9.88671875" style="4" customWidth="1"/>
    <col min="15363" max="15363" width="4.109375" style="4" customWidth="1"/>
    <col min="15364" max="15364" width="9" style="4"/>
    <col min="15365" max="15365" width="2.77734375" style="4" customWidth="1"/>
    <col min="15366" max="15368" width="9" style="4"/>
    <col min="15369" max="15369" width="2.77734375" style="4" customWidth="1"/>
    <col min="15370" max="15372" width="9" style="4"/>
    <col min="15373" max="15374" width="3.6640625" style="4" customWidth="1"/>
    <col min="15375" max="15376" width="9" style="4"/>
    <col min="15377" max="15377" width="2.77734375" style="4" customWidth="1"/>
    <col min="15378" max="15378" width="9" style="4"/>
    <col min="15379" max="15379" width="6.44140625" style="4" customWidth="1"/>
    <col min="15380" max="15616" width="9" style="4"/>
    <col min="15617" max="15617" width="3.6640625" style="4" customWidth="1"/>
    <col min="15618" max="15618" width="9.88671875" style="4" customWidth="1"/>
    <col min="15619" max="15619" width="4.109375" style="4" customWidth="1"/>
    <col min="15620" max="15620" width="9" style="4"/>
    <col min="15621" max="15621" width="2.77734375" style="4" customWidth="1"/>
    <col min="15622" max="15624" width="9" style="4"/>
    <col min="15625" max="15625" width="2.77734375" style="4" customWidth="1"/>
    <col min="15626" max="15628" width="9" style="4"/>
    <col min="15629" max="15630" width="3.6640625" style="4" customWidth="1"/>
    <col min="15631" max="15632" width="9" style="4"/>
    <col min="15633" max="15633" width="2.77734375" style="4" customWidth="1"/>
    <col min="15634" max="15634" width="9" style="4"/>
    <col min="15635" max="15635" width="6.44140625" style="4" customWidth="1"/>
    <col min="15636" max="15872" width="9" style="4"/>
    <col min="15873" max="15873" width="3.6640625" style="4" customWidth="1"/>
    <col min="15874" max="15874" width="9.88671875" style="4" customWidth="1"/>
    <col min="15875" max="15875" width="4.109375" style="4" customWidth="1"/>
    <col min="15876" max="15876" width="9" style="4"/>
    <col min="15877" max="15877" width="2.77734375" style="4" customWidth="1"/>
    <col min="15878" max="15880" width="9" style="4"/>
    <col min="15881" max="15881" width="2.77734375" style="4" customWidth="1"/>
    <col min="15882" max="15884" width="9" style="4"/>
    <col min="15885" max="15886" width="3.6640625" style="4" customWidth="1"/>
    <col min="15887" max="15888" width="9" style="4"/>
    <col min="15889" max="15889" width="2.77734375" style="4" customWidth="1"/>
    <col min="15890" max="15890" width="9" style="4"/>
    <col min="15891" max="15891" width="6.44140625" style="4" customWidth="1"/>
    <col min="15892" max="16128" width="9" style="4"/>
    <col min="16129" max="16129" width="3.6640625" style="4" customWidth="1"/>
    <col min="16130" max="16130" width="9.88671875" style="4" customWidth="1"/>
    <col min="16131" max="16131" width="4.109375" style="4" customWidth="1"/>
    <col min="16132" max="16132" width="9" style="4"/>
    <col min="16133" max="16133" width="2.77734375" style="4" customWidth="1"/>
    <col min="16134" max="16136" width="9" style="4"/>
    <col min="16137" max="16137" width="2.77734375" style="4" customWidth="1"/>
    <col min="16138" max="16140" width="9" style="4"/>
    <col min="16141" max="16142" width="3.6640625" style="4" customWidth="1"/>
    <col min="16143" max="16144" width="9" style="4"/>
    <col min="16145" max="16145" width="2.77734375" style="4" customWidth="1"/>
    <col min="16146" max="16146" width="9" style="4"/>
    <col min="16147" max="16147" width="6.44140625" style="4" customWidth="1"/>
    <col min="16148" max="16384" width="9" style="4"/>
  </cols>
  <sheetData>
    <row r="1" spans="1:21" s="46" customFormat="1" ht="21" customHeight="1" x14ac:dyDescent="0.2">
      <c r="A1" s="46" t="s">
        <v>273</v>
      </c>
      <c r="C1" s="47"/>
      <c r="H1" s="46" t="s">
        <v>99</v>
      </c>
      <c r="K1" s="48" t="s">
        <v>274</v>
      </c>
      <c r="M1" s="48"/>
      <c r="N1" s="49"/>
      <c r="O1" s="49"/>
      <c r="P1" s="48"/>
      <c r="Q1" s="48"/>
    </row>
    <row r="2" spans="1:21" s="46" customFormat="1" ht="15" customHeight="1" x14ac:dyDescent="0.2">
      <c r="C2" s="47"/>
      <c r="N2" s="47"/>
      <c r="O2" s="47"/>
    </row>
    <row r="3" spans="1:21" x14ac:dyDescent="0.2">
      <c r="A3" s="418" t="s">
        <v>100</v>
      </c>
      <c r="B3" s="418"/>
      <c r="C3" s="418"/>
      <c r="D3" s="418"/>
      <c r="E3" s="418"/>
    </row>
    <row r="4" spans="1:21" x14ac:dyDescent="0.2">
      <c r="A4" s="418"/>
      <c r="B4" s="418"/>
      <c r="C4" s="418"/>
      <c r="D4" s="418"/>
      <c r="E4" s="418"/>
    </row>
    <row r="5" spans="1:21" ht="13.8" thickBot="1" x14ac:dyDescent="0.25">
      <c r="A5" s="50" t="s">
        <v>101</v>
      </c>
      <c r="J5" s="7" t="s">
        <v>137</v>
      </c>
    </row>
    <row r="6" spans="1:21" ht="20.25" customHeight="1" x14ac:dyDescent="0.2">
      <c r="A6" s="74"/>
      <c r="B6" s="75" t="s">
        <v>102</v>
      </c>
      <c r="C6" s="419" t="s">
        <v>103</v>
      </c>
      <c r="D6" s="419"/>
      <c r="E6" s="419"/>
      <c r="F6" s="419"/>
      <c r="G6" s="419"/>
      <c r="H6" s="419"/>
      <c r="I6" s="419"/>
      <c r="J6" s="419"/>
      <c r="K6" s="419"/>
      <c r="L6" s="420"/>
      <c r="M6" s="420"/>
      <c r="N6" s="421" t="s">
        <v>104</v>
      </c>
      <c r="O6" s="422"/>
      <c r="P6" s="80"/>
      <c r="Q6" s="6"/>
      <c r="R6" s="423" t="s">
        <v>105</v>
      </c>
      <c r="S6" s="423"/>
      <c r="T6" s="423"/>
      <c r="U6" s="424"/>
    </row>
    <row r="7" spans="1:21" ht="18" customHeight="1" x14ac:dyDescent="0.2">
      <c r="A7" s="394" t="s">
        <v>17</v>
      </c>
      <c r="B7" s="397" t="s">
        <v>106</v>
      </c>
      <c r="C7" s="264">
        <v>1</v>
      </c>
      <c r="D7" s="399" t="s">
        <v>257</v>
      </c>
      <c r="E7" s="400"/>
      <c r="F7" s="400"/>
      <c r="G7" s="400"/>
      <c r="H7" s="400"/>
      <c r="I7" s="400"/>
      <c r="J7" s="400"/>
      <c r="K7" s="400"/>
      <c r="L7" s="400"/>
      <c r="M7" s="401"/>
      <c r="N7" s="402"/>
      <c r="O7" s="403"/>
      <c r="P7" s="8"/>
      <c r="Q7" s="52"/>
      <c r="R7" s="53"/>
      <c r="S7" s="53"/>
      <c r="T7" s="53"/>
      <c r="U7" s="76"/>
    </row>
    <row r="8" spans="1:21" ht="18" customHeight="1" x14ac:dyDescent="0.2">
      <c r="A8" s="395"/>
      <c r="B8" s="398"/>
      <c r="C8" s="265">
        <v>2</v>
      </c>
      <c r="D8" s="183" t="s">
        <v>107</v>
      </c>
      <c r="E8" s="266"/>
      <c r="F8" s="266"/>
      <c r="G8" s="266"/>
      <c r="H8" s="266"/>
      <c r="I8" s="266"/>
      <c r="J8" s="266"/>
      <c r="K8" s="266"/>
      <c r="L8" s="267"/>
      <c r="M8" s="268"/>
      <c r="N8" s="404"/>
      <c r="O8" s="405"/>
      <c r="P8" s="9"/>
      <c r="Q8" s="54"/>
      <c r="R8" s="54"/>
      <c r="S8" s="54"/>
      <c r="T8" s="54"/>
      <c r="U8" s="77"/>
    </row>
    <row r="9" spans="1:21" ht="18" customHeight="1" x14ac:dyDescent="0.2">
      <c r="A9" s="395"/>
      <c r="B9" s="269" t="s">
        <v>108</v>
      </c>
      <c r="C9" s="270">
        <v>3</v>
      </c>
      <c r="D9" s="271" t="s">
        <v>109</v>
      </c>
      <c r="E9" s="244"/>
      <c r="F9" s="244"/>
      <c r="G9" s="244"/>
      <c r="H9" s="244"/>
      <c r="I9" s="244"/>
      <c r="J9" s="244"/>
      <c r="K9" s="244"/>
      <c r="L9" s="272"/>
      <c r="M9" s="244"/>
      <c r="N9" s="415"/>
      <c r="O9" s="416"/>
      <c r="P9" s="9"/>
      <c r="Q9" s="54"/>
      <c r="R9" s="54"/>
      <c r="S9" s="54"/>
      <c r="T9" s="54"/>
      <c r="U9" s="77"/>
    </row>
    <row r="10" spans="1:21" ht="18" customHeight="1" x14ac:dyDescent="0.2">
      <c r="A10" s="395"/>
      <c r="B10" s="417" t="s">
        <v>110</v>
      </c>
      <c r="C10" s="273">
        <v>4</v>
      </c>
      <c r="D10" s="399" t="s">
        <v>111</v>
      </c>
      <c r="E10" s="400"/>
      <c r="F10" s="400"/>
      <c r="G10" s="400"/>
      <c r="H10" s="400"/>
      <c r="I10" s="400"/>
      <c r="J10" s="400"/>
      <c r="K10" s="400"/>
      <c r="L10" s="400"/>
      <c r="M10" s="400"/>
      <c r="N10" s="402"/>
      <c r="O10" s="403"/>
      <c r="P10" s="9"/>
      <c r="Q10" s="54"/>
      <c r="R10" s="54"/>
      <c r="S10" s="54"/>
      <c r="T10" s="54"/>
      <c r="U10" s="77"/>
    </row>
    <row r="11" spans="1:21" ht="18" customHeight="1" x14ac:dyDescent="0.2">
      <c r="A11" s="395"/>
      <c r="B11" s="417"/>
      <c r="C11" s="274">
        <v>5</v>
      </c>
      <c r="D11" s="275" t="s">
        <v>112</v>
      </c>
      <c r="E11" s="276"/>
      <c r="F11" s="276"/>
      <c r="G11" s="276"/>
      <c r="H11" s="276"/>
      <c r="I11" s="276"/>
      <c r="J11" s="276"/>
      <c r="K11" s="276"/>
      <c r="L11" s="277"/>
      <c r="M11" s="276"/>
      <c r="N11" s="404"/>
      <c r="O11" s="405"/>
      <c r="P11" s="9"/>
      <c r="Q11" s="54"/>
      <c r="R11" s="54"/>
      <c r="S11" s="54"/>
      <c r="T11" s="54"/>
      <c r="U11" s="77"/>
    </row>
    <row r="12" spans="1:21" ht="18" customHeight="1" x14ac:dyDescent="0.2">
      <c r="A12" s="395"/>
      <c r="B12" s="397" t="s">
        <v>113</v>
      </c>
      <c r="C12" s="273">
        <v>6</v>
      </c>
      <c r="D12" s="407" t="s">
        <v>114</v>
      </c>
      <c r="E12" s="408"/>
      <c r="F12" s="408"/>
      <c r="G12" s="408"/>
      <c r="H12" s="408"/>
      <c r="I12" s="408"/>
      <c r="J12" s="408"/>
      <c r="K12" s="408"/>
      <c r="L12" s="408"/>
      <c r="M12" s="409"/>
      <c r="N12" s="402"/>
      <c r="O12" s="403"/>
      <c r="P12" s="9"/>
      <c r="Q12" s="54"/>
      <c r="R12" s="54"/>
      <c r="S12" s="54"/>
      <c r="T12" s="54"/>
      <c r="U12" s="77"/>
    </row>
    <row r="13" spans="1:21" ht="18" customHeight="1" thickBot="1" x14ac:dyDescent="0.25">
      <c r="A13" s="396"/>
      <c r="B13" s="406"/>
      <c r="C13" s="278">
        <v>7</v>
      </c>
      <c r="D13" s="410" t="s">
        <v>115</v>
      </c>
      <c r="E13" s="411"/>
      <c r="F13" s="411"/>
      <c r="G13" s="411"/>
      <c r="H13" s="411"/>
      <c r="I13" s="411"/>
      <c r="J13" s="411"/>
      <c r="K13" s="411"/>
      <c r="L13" s="411"/>
      <c r="M13" s="412"/>
      <c r="N13" s="413"/>
      <c r="O13" s="414"/>
      <c r="P13" s="81"/>
      <c r="Q13" s="78"/>
      <c r="R13" s="78"/>
      <c r="S13" s="78"/>
      <c r="T13" s="78"/>
      <c r="U13" s="79"/>
    </row>
    <row r="14" spans="1:21" x14ac:dyDescent="0.2">
      <c r="B14" s="279"/>
      <c r="C14" s="280"/>
      <c r="D14" s="281"/>
      <c r="E14" s="281"/>
      <c r="F14" s="281"/>
      <c r="G14" s="281"/>
      <c r="H14" s="281"/>
      <c r="I14" s="281"/>
      <c r="J14" s="281"/>
      <c r="K14" s="281"/>
      <c r="L14" s="279"/>
      <c r="M14" s="281"/>
      <c r="P14" s="7"/>
    </row>
    <row r="15" spans="1:21" ht="13.8" thickBot="1" x14ac:dyDescent="0.25">
      <c r="A15" s="50" t="s">
        <v>116</v>
      </c>
      <c r="B15" s="279"/>
      <c r="C15" s="282"/>
      <c r="D15" s="279"/>
      <c r="E15" s="279"/>
      <c r="F15" s="279" t="s">
        <v>138</v>
      </c>
      <c r="G15" s="279"/>
      <c r="H15" s="279"/>
      <c r="I15" s="279"/>
      <c r="J15" s="283"/>
      <c r="K15" s="279"/>
      <c r="L15" s="279"/>
      <c r="M15" s="279"/>
      <c r="P15" s="7"/>
    </row>
    <row r="16" spans="1:21" ht="18" customHeight="1" thickBot="1" x14ac:dyDescent="0.25">
      <c r="A16" s="82" t="s">
        <v>117</v>
      </c>
      <c r="B16" s="284" t="s">
        <v>118</v>
      </c>
      <c r="C16" s="285">
        <v>8</v>
      </c>
      <c r="D16" s="428" t="s">
        <v>139</v>
      </c>
      <c r="E16" s="429"/>
      <c r="F16" s="429"/>
      <c r="G16" s="429"/>
      <c r="H16" s="429"/>
      <c r="I16" s="429"/>
      <c r="J16" s="429"/>
      <c r="K16" s="429"/>
      <c r="L16" s="429"/>
      <c r="M16" s="430"/>
      <c r="N16" s="431"/>
      <c r="O16" s="432"/>
      <c r="P16" s="73"/>
      <c r="Q16" s="72"/>
      <c r="R16" s="83"/>
      <c r="S16" s="83"/>
      <c r="T16" s="83"/>
      <c r="U16" s="84"/>
    </row>
    <row r="17" spans="1:21" x14ac:dyDescent="0.2">
      <c r="B17" s="279"/>
      <c r="C17" s="282"/>
      <c r="D17" s="279"/>
      <c r="E17" s="279"/>
      <c r="F17" s="279"/>
      <c r="G17" s="279"/>
      <c r="H17" s="279"/>
      <c r="I17" s="279"/>
      <c r="J17" s="279"/>
      <c r="K17" s="279"/>
      <c r="L17" s="279"/>
      <c r="M17" s="279"/>
      <c r="P17" s="7"/>
    </row>
    <row r="18" spans="1:21" ht="13.8" thickBot="1" x14ac:dyDescent="0.25">
      <c r="A18" s="50" t="s">
        <v>119</v>
      </c>
      <c r="B18" s="279"/>
      <c r="C18" s="280"/>
      <c r="D18" s="281"/>
      <c r="E18" s="281"/>
      <c r="F18" s="281"/>
      <c r="G18" s="281"/>
      <c r="H18" s="281"/>
      <c r="I18" s="281"/>
      <c r="J18" s="281"/>
      <c r="K18" s="281"/>
      <c r="L18" s="279"/>
      <c r="M18" s="281"/>
    </row>
    <row r="19" spans="1:21" ht="20.25" customHeight="1" x14ac:dyDescent="0.2">
      <c r="A19" s="74"/>
      <c r="B19" s="286" t="s">
        <v>102</v>
      </c>
      <c r="C19" s="433" t="s">
        <v>103</v>
      </c>
      <c r="D19" s="433"/>
      <c r="E19" s="433"/>
      <c r="F19" s="433"/>
      <c r="G19" s="433"/>
      <c r="H19" s="433"/>
      <c r="I19" s="433"/>
      <c r="J19" s="433"/>
      <c r="K19" s="433"/>
      <c r="L19" s="434"/>
      <c r="M19" s="434"/>
      <c r="N19" s="421" t="s">
        <v>104</v>
      </c>
      <c r="O19" s="422"/>
      <c r="P19" s="80"/>
      <c r="Q19" s="6"/>
      <c r="R19" s="423" t="s">
        <v>105</v>
      </c>
      <c r="S19" s="423"/>
      <c r="T19" s="423"/>
      <c r="U19" s="424"/>
    </row>
    <row r="20" spans="1:21" ht="18" customHeight="1" x14ac:dyDescent="0.2">
      <c r="A20" s="395" t="s">
        <v>140</v>
      </c>
      <c r="B20" s="287" t="s">
        <v>120</v>
      </c>
      <c r="C20" s="273">
        <v>9</v>
      </c>
      <c r="D20" s="288" t="s">
        <v>121</v>
      </c>
      <c r="E20" s="289"/>
      <c r="F20" s="289"/>
      <c r="G20" s="289"/>
      <c r="H20" s="289"/>
      <c r="I20" s="289"/>
      <c r="J20" s="289"/>
      <c r="K20" s="289"/>
      <c r="L20" s="290"/>
      <c r="M20" s="289"/>
      <c r="N20" s="415"/>
      <c r="O20" s="416"/>
      <c r="P20" s="8"/>
      <c r="Q20" s="52"/>
      <c r="R20" s="52"/>
      <c r="S20" s="52"/>
      <c r="T20" s="52"/>
      <c r="U20" s="85"/>
    </row>
    <row r="21" spans="1:21" ht="18" customHeight="1" x14ac:dyDescent="0.2">
      <c r="A21" s="395"/>
      <c r="B21" s="291" t="s">
        <v>141</v>
      </c>
      <c r="C21" s="292">
        <v>10</v>
      </c>
      <c r="D21" s="425" t="s">
        <v>122</v>
      </c>
      <c r="E21" s="426"/>
      <c r="F21" s="426"/>
      <c r="G21" s="426"/>
      <c r="H21" s="426"/>
      <c r="I21" s="426"/>
      <c r="J21" s="426"/>
      <c r="K21" s="426"/>
      <c r="L21" s="426"/>
      <c r="M21" s="427"/>
      <c r="N21" s="415"/>
      <c r="O21" s="416"/>
      <c r="P21" s="9"/>
      <c r="Q21" s="54"/>
      <c r="R21" s="54"/>
      <c r="S21" s="54"/>
      <c r="T21" s="54"/>
      <c r="U21" s="77"/>
    </row>
    <row r="22" spans="1:21" ht="18" customHeight="1" x14ac:dyDescent="0.2">
      <c r="A22" s="395"/>
      <c r="B22" s="291" t="s">
        <v>123</v>
      </c>
      <c r="C22" s="292">
        <v>11</v>
      </c>
      <c r="D22" s="293" t="s">
        <v>258</v>
      </c>
      <c r="E22" s="289"/>
      <c r="F22" s="289"/>
      <c r="G22" s="289"/>
      <c r="H22" s="289"/>
      <c r="I22" s="289"/>
      <c r="J22" s="289"/>
      <c r="K22" s="289"/>
      <c r="L22" s="294"/>
      <c r="M22" s="295"/>
      <c r="N22" s="415"/>
      <c r="O22" s="416"/>
      <c r="P22" s="9"/>
      <c r="Q22" s="54"/>
      <c r="R22" s="54"/>
      <c r="S22" s="54"/>
      <c r="T22" s="54"/>
      <c r="U22" s="77"/>
    </row>
    <row r="23" spans="1:21" ht="18" customHeight="1" x14ac:dyDescent="0.2">
      <c r="A23" s="395"/>
      <c r="B23" s="287" t="s">
        <v>142</v>
      </c>
      <c r="C23" s="264">
        <v>12</v>
      </c>
      <c r="D23" s="288" t="s">
        <v>143</v>
      </c>
      <c r="E23" s="289"/>
      <c r="F23" s="289"/>
      <c r="G23" s="289"/>
      <c r="H23" s="289"/>
      <c r="I23" s="289"/>
      <c r="J23" s="289"/>
      <c r="K23" s="289"/>
      <c r="L23" s="294"/>
      <c r="M23" s="296"/>
      <c r="N23" s="415"/>
      <c r="O23" s="416"/>
      <c r="P23" s="10"/>
      <c r="Q23" s="57"/>
      <c r="R23" s="57"/>
      <c r="S23" s="57"/>
      <c r="T23" s="57"/>
      <c r="U23" s="86"/>
    </row>
    <row r="24" spans="1:21" ht="18" customHeight="1" thickBot="1" x14ac:dyDescent="0.25">
      <c r="A24" s="396"/>
      <c r="B24" s="297" t="s">
        <v>124</v>
      </c>
      <c r="C24" s="298">
        <v>13</v>
      </c>
      <c r="D24" s="299" t="s">
        <v>125</v>
      </c>
      <c r="E24" s="300"/>
      <c r="F24" s="300"/>
      <c r="G24" s="300"/>
      <c r="H24" s="300"/>
      <c r="I24" s="300"/>
      <c r="J24" s="300"/>
      <c r="K24" s="300"/>
      <c r="L24" s="301"/>
      <c r="M24" s="300"/>
      <c r="N24" s="435"/>
      <c r="O24" s="436"/>
      <c r="P24" s="81"/>
      <c r="Q24" s="78"/>
      <c r="R24" s="78"/>
      <c r="S24" s="78"/>
      <c r="T24" s="78"/>
      <c r="U24" s="79"/>
    </row>
    <row r="26" spans="1:21" ht="13.8" thickBot="1" x14ac:dyDescent="0.25"/>
    <row r="27" spans="1:21" x14ac:dyDescent="0.2">
      <c r="A27" s="454" t="s">
        <v>126</v>
      </c>
      <c r="B27" s="455"/>
      <c r="C27" s="455"/>
      <c r="D27" s="455"/>
      <c r="E27" s="455"/>
      <c r="F27" s="456"/>
      <c r="G27" s="443" t="s">
        <v>119</v>
      </c>
      <c r="H27" s="443"/>
      <c r="I27" s="443"/>
      <c r="J27" s="443"/>
      <c r="K27" s="444"/>
      <c r="N27" s="4"/>
      <c r="P27" s="454" t="s">
        <v>127</v>
      </c>
      <c r="Q27" s="455"/>
      <c r="R27" s="455"/>
      <c r="S27" s="455"/>
      <c r="T27" s="456"/>
    </row>
    <row r="28" spans="1:21" ht="13.5" customHeight="1" x14ac:dyDescent="0.2">
      <c r="A28" s="463"/>
      <c r="B28" s="464"/>
      <c r="C28" s="457" t="s">
        <v>135</v>
      </c>
      <c r="D28" s="457"/>
      <c r="E28" s="457"/>
      <c r="F28" s="458"/>
      <c r="G28" s="437"/>
      <c r="H28" s="438"/>
      <c r="I28" s="445" t="s">
        <v>135</v>
      </c>
      <c r="J28" s="446"/>
      <c r="K28" s="447"/>
      <c r="N28" s="4"/>
      <c r="P28" s="471"/>
      <c r="Q28" s="472"/>
      <c r="R28" s="457" t="s">
        <v>135</v>
      </c>
      <c r="S28" s="457"/>
      <c r="T28" s="458"/>
    </row>
    <row r="29" spans="1:21" ht="9.75" customHeight="1" x14ac:dyDescent="0.2">
      <c r="A29" s="463"/>
      <c r="B29" s="464"/>
      <c r="C29" s="459"/>
      <c r="D29" s="459"/>
      <c r="E29" s="459"/>
      <c r="F29" s="460"/>
      <c r="G29" s="437"/>
      <c r="H29" s="438"/>
      <c r="I29" s="448"/>
      <c r="J29" s="449"/>
      <c r="K29" s="450"/>
      <c r="N29" s="4"/>
      <c r="P29" s="471"/>
      <c r="Q29" s="472"/>
      <c r="R29" s="475"/>
      <c r="S29" s="475"/>
      <c r="T29" s="476"/>
    </row>
    <row r="30" spans="1:21" ht="9.75" customHeight="1" x14ac:dyDescent="0.2">
      <c r="A30" s="465"/>
      <c r="B30" s="466"/>
      <c r="C30" s="459"/>
      <c r="D30" s="459"/>
      <c r="E30" s="459"/>
      <c r="F30" s="460"/>
      <c r="G30" s="437"/>
      <c r="H30" s="438"/>
      <c r="I30" s="448"/>
      <c r="J30" s="449"/>
      <c r="K30" s="450"/>
      <c r="N30" s="4"/>
      <c r="P30" s="473"/>
      <c r="Q30" s="474"/>
      <c r="R30" s="475"/>
      <c r="S30" s="475"/>
      <c r="T30" s="476"/>
    </row>
    <row r="31" spans="1:21" ht="9.75" customHeight="1" x14ac:dyDescent="0.2">
      <c r="A31" s="467" t="s">
        <v>144</v>
      </c>
      <c r="B31" s="468"/>
      <c r="C31" s="459"/>
      <c r="D31" s="459"/>
      <c r="E31" s="459"/>
      <c r="F31" s="460"/>
      <c r="G31" s="439" t="s">
        <v>145</v>
      </c>
      <c r="H31" s="440"/>
      <c r="I31" s="448"/>
      <c r="J31" s="449"/>
      <c r="K31" s="450"/>
      <c r="N31" s="4"/>
      <c r="P31" s="467" t="s">
        <v>204</v>
      </c>
      <c r="Q31" s="468"/>
      <c r="R31" s="475"/>
      <c r="S31" s="475"/>
      <c r="T31" s="476"/>
    </row>
    <row r="32" spans="1:21" ht="13.5" customHeight="1" thickBot="1" x14ac:dyDescent="0.25">
      <c r="A32" s="469"/>
      <c r="B32" s="470"/>
      <c r="C32" s="461"/>
      <c r="D32" s="461"/>
      <c r="E32" s="461"/>
      <c r="F32" s="462"/>
      <c r="G32" s="441"/>
      <c r="H32" s="442"/>
      <c r="I32" s="451"/>
      <c r="J32" s="452"/>
      <c r="K32" s="453"/>
      <c r="N32" s="4"/>
      <c r="P32" s="469"/>
      <c r="Q32" s="470"/>
      <c r="R32" s="477"/>
      <c r="S32" s="477"/>
      <c r="T32" s="478"/>
    </row>
    <row r="33" spans="1:21" x14ac:dyDescent="0.2">
      <c r="I33" s="5"/>
      <c r="J33" s="5"/>
      <c r="K33" s="5"/>
      <c r="L33" s="5"/>
      <c r="M33" s="5"/>
    </row>
    <row r="34" spans="1:21" ht="13.8" thickBot="1" x14ac:dyDescent="0.25"/>
    <row r="35" spans="1:21" ht="13.8" thickTop="1" x14ac:dyDescent="0.2">
      <c r="A35" s="60"/>
      <c r="B35" s="51" t="s">
        <v>128</v>
      </c>
      <c r="C35" s="61"/>
      <c r="D35" s="51"/>
      <c r="E35" s="51"/>
      <c r="F35" s="51"/>
      <c r="G35" s="51"/>
      <c r="H35" s="51"/>
      <c r="I35" s="51"/>
      <c r="J35" s="51"/>
      <c r="K35" s="51"/>
      <c r="L35" s="51"/>
      <c r="M35" s="51"/>
      <c r="N35" s="61"/>
      <c r="O35" s="61"/>
      <c r="P35" s="51"/>
      <c r="Q35" s="51"/>
      <c r="R35" s="51"/>
      <c r="S35" s="51"/>
      <c r="T35" s="51"/>
      <c r="U35" s="62"/>
    </row>
    <row r="36" spans="1:21" x14ac:dyDescent="0.2">
      <c r="A36" s="58"/>
      <c r="U36" s="63"/>
    </row>
    <row r="37" spans="1:21" x14ac:dyDescent="0.2">
      <c r="A37" s="58"/>
      <c r="U37" s="63"/>
    </row>
    <row r="38" spans="1:21" x14ac:dyDescent="0.2">
      <c r="A38" s="58"/>
      <c r="U38" s="63"/>
    </row>
    <row r="39" spans="1:21" ht="13.8" thickBot="1" x14ac:dyDescent="0.25">
      <c r="A39" s="59"/>
      <c r="B39" s="64"/>
      <c r="C39" s="65"/>
      <c r="D39" s="64"/>
      <c r="E39" s="64"/>
      <c r="F39" s="64"/>
      <c r="G39" s="64"/>
      <c r="H39" s="64"/>
      <c r="I39" s="64"/>
      <c r="J39" s="64"/>
      <c r="K39" s="64"/>
      <c r="L39" s="64"/>
      <c r="M39" s="64"/>
      <c r="N39" s="65"/>
      <c r="O39" s="65"/>
      <c r="P39" s="64"/>
      <c r="Q39" s="64"/>
      <c r="R39" s="64"/>
      <c r="S39" s="64"/>
      <c r="T39" s="64"/>
      <c r="U39" s="66"/>
    </row>
    <row r="40" spans="1:21" ht="13.8" thickTop="1" x14ac:dyDescent="0.2"/>
  </sheetData>
  <mergeCells count="47">
    <mergeCell ref="P27:T27"/>
    <mergeCell ref="P28:Q30"/>
    <mergeCell ref="P31:Q32"/>
    <mergeCell ref="R28:T28"/>
    <mergeCell ref="R29:T32"/>
    <mergeCell ref="A27:F27"/>
    <mergeCell ref="C28:F28"/>
    <mergeCell ref="C29:F32"/>
    <mergeCell ref="A28:B30"/>
    <mergeCell ref="A31:B32"/>
    <mergeCell ref="G28:H30"/>
    <mergeCell ref="G31:H32"/>
    <mergeCell ref="G27:K27"/>
    <mergeCell ref="I28:K28"/>
    <mergeCell ref="I29:K32"/>
    <mergeCell ref="A20:A24"/>
    <mergeCell ref="D16:M16"/>
    <mergeCell ref="N16:O16"/>
    <mergeCell ref="C19:M19"/>
    <mergeCell ref="N19:O19"/>
    <mergeCell ref="N23:O23"/>
    <mergeCell ref="N24:O24"/>
    <mergeCell ref="R19:U19"/>
    <mergeCell ref="N20:O20"/>
    <mergeCell ref="D21:M21"/>
    <mergeCell ref="N21:O21"/>
    <mergeCell ref="N22:O22"/>
    <mergeCell ref="A3:B4"/>
    <mergeCell ref="C3:E4"/>
    <mergeCell ref="C6:M6"/>
    <mergeCell ref="N6:O6"/>
    <mergeCell ref="R6:U6"/>
    <mergeCell ref="A7:A13"/>
    <mergeCell ref="B7:B8"/>
    <mergeCell ref="D7:M7"/>
    <mergeCell ref="N7:O7"/>
    <mergeCell ref="N8:O8"/>
    <mergeCell ref="B12:B13"/>
    <mergeCell ref="D12:M12"/>
    <mergeCell ref="N12:O12"/>
    <mergeCell ref="D13:M13"/>
    <mergeCell ref="N13:O13"/>
    <mergeCell ref="N9:O9"/>
    <mergeCell ref="B10:B11"/>
    <mergeCell ref="D10:M10"/>
    <mergeCell ref="N10:O10"/>
    <mergeCell ref="N11:O11"/>
  </mergeCells>
  <phoneticPr fontId="2"/>
  <printOptions horizontalCentered="1"/>
  <pageMargins left="0" right="0" top="0" bottom="0" header="0.51181102362204722" footer="0.51181102362204722"/>
  <pageSetup paperSize="9"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2F5F7F-B947-46FD-BBFD-6057D00A39EE}">
  <sheetPr>
    <tabColor rgb="FFFF0000"/>
  </sheetPr>
  <dimension ref="A1:P50"/>
  <sheetViews>
    <sheetView zoomScale="85" zoomScaleNormal="85" workbookViewId="0">
      <selection activeCell="G4" sqref="G4"/>
    </sheetView>
  </sheetViews>
  <sheetFormatPr defaultRowHeight="13.2" x14ac:dyDescent="0.2"/>
  <cols>
    <col min="1" max="1" width="11.109375" style="35" customWidth="1"/>
    <col min="2" max="13" width="10.21875" style="35" customWidth="1"/>
    <col min="14" max="15" width="11" style="35" customWidth="1"/>
    <col min="16" max="256" width="8.77734375" style="35"/>
    <col min="257" max="257" width="11.109375" style="35" customWidth="1"/>
    <col min="258" max="269" width="10.21875" style="35" customWidth="1"/>
    <col min="270" max="270" width="10.33203125" style="35" customWidth="1"/>
    <col min="271" max="512" width="8.77734375" style="35"/>
    <col min="513" max="513" width="11.109375" style="35" customWidth="1"/>
    <col min="514" max="525" width="10.21875" style="35" customWidth="1"/>
    <col min="526" max="526" width="10.33203125" style="35" customWidth="1"/>
    <col min="527" max="768" width="8.77734375" style="35"/>
    <col min="769" max="769" width="11.109375" style="35" customWidth="1"/>
    <col min="770" max="781" width="10.21875" style="35" customWidth="1"/>
    <col min="782" max="782" width="10.33203125" style="35" customWidth="1"/>
    <col min="783" max="1024" width="8.77734375" style="35"/>
    <col min="1025" max="1025" width="11.109375" style="35" customWidth="1"/>
    <col min="1026" max="1037" width="10.21875" style="35" customWidth="1"/>
    <col min="1038" max="1038" width="10.33203125" style="35" customWidth="1"/>
    <col min="1039" max="1280" width="8.77734375" style="35"/>
    <col min="1281" max="1281" width="11.109375" style="35" customWidth="1"/>
    <col min="1282" max="1293" width="10.21875" style="35" customWidth="1"/>
    <col min="1294" max="1294" width="10.33203125" style="35" customWidth="1"/>
    <col min="1295" max="1536" width="8.77734375" style="35"/>
    <col min="1537" max="1537" width="11.109375" style="35" customWidth="1"/>
    <col min="1538" max="1549" width="10.21875" style="35" customWidth="1"/>
    <col min="1550" max="1550" width="10.33203125" style="35" customWidth="1"/>
    <col min="1551" max="1792" width="8.77734375" style="35"/>
    <col min="1793" max="1793" width="11.109375" style="35" customWidth="1"/>
    <col min="1794" max="1805" width="10.21875" style="35" customWidth="1"/>
    <col min="1806" max="1806" width="10.33203125" style="35" customWidth="1"/>
    <col min="1807" max="2048" width="8.77734375" style="35"/>
    <col min="2049" max="2049" width="11.109375" style="35" customWidth="1"/>
    <col min="2050" max="2061" width="10.21875" style="35" customWidth="1"/>
    <col min="2062" max="2062" width="10.33203125" style="35" customWidth="1"/>
    <col min="2063" max="2304" width="8.77734375" style="35"/>
    <col min="2305" max="2305" width="11.109375" style="35" customWidth="1"/>
    <col min="2306" max="2317" width="10.21875" style="35" customWidth="1"/>
    <col min="2318" max="2318" width="10.33203125" style="35" customWidth="1"/>
    <col min="2319" max="2560" width="8.77734375" style="35"/>
    <col min="2561" max="2561" width="11.109375" style="35" customWidth="1"/>
    <col min="2562" max="2573" width="10.21875" style="35" customWidth="1"/>
    <col min="2574" max="2574" width="10.33203125" style="35" customWidth="1"/>
    <col min="2575" max="2816" width="8.77734375" style="35"/>
    <col min="2817" max="2817" width="11.109375" style="35" customWidth="1"/>
    <col min="2818" max="2829" width="10.21875" style="35" customWidth="1"/>
    <col min="2830" max="2830" width="10.33203125" style="35" customWidth="1"/>
    <col min="2831" max="3072" width="8.77734375" style="35"/>
    <col min="3073" max="3073" width="11.109375" style="35" customWidth="1"/>
    <col min="3074" max="3085" width="10.21875" style="35" customWidth="1"/>
    <col min="3086" max="3086" width="10.33203125" style="35" customWidth="1"/>
    <col min="3087" max="3328" width="8.77734375" style="35"/>
    <col min="3329" max="3329" width="11.109375" style="35" customWidth="1"/>
    <col min="3330" max="3341" width="10.21875" style="35" customWidth="1"/>
    <col min="3342" max="3342" width="10.33203125" style="35" customWidth="1"/>
    <col min="3343" max="3584" width="8.77734375" style="35"/>
    <col min="3585" max="3585" width="11.109375" style="35" customWidth="1"/>
    <col min="3586" max="3597" width="10.21875" style="35" customWidth="1"/>
    <col min="3598" max="3598" width="10.33203125" style="35" customWidth="1"/>
    <col min="3599" max="3840" width="8.77734375" style="35"/>
    <col min="3841" max="3841" width="11.109375" style="35" customWidth="1"/>
    <col min="3842" max="3853" width="10.21875" style="35" customWidth="1"/>
    <col min="3854" max="3854" width="10.33203125" style="35" customWidth="1"/>
    <col min="3855" max="4096" width="8.77734375" style="35"/>
    <col min="4097" max="4097" width="11.109375" style="35" customWidth="1"/>
    <col min="4098" max="4109" width="10.21875" style="35" customWidth="1"/>
    <col min="4110" max="4110" width="10.33203125" style="35" customWidth="1"/>
    <col min="4111" max="4352" width="8.77734375" style="35"/>
    <col min="4353" max="4353" width="11.109375" style="35" customWidth="1"/>
    <col min="4354" max="4365" width="10.21875" style="35" customWidth="1"/>
    <col min="4366" max="4366" width="10.33203125" style="35" customWidth="1"/>
    <col min="4367" max="4608" width="8.77734375" style="35"/>
    <col min="4609" max="4609" width="11.109375" style="35" customWidth="1"/>
    <col min="4610" max="4621" width="10.21875" style="35" customWidth="1"/>
    <col min="4622" max="4622" width="10.33203125" style="35" customWidth="1"/>
    <col min="4623" max="4864" width="8.77734375" style="35"/>
    <col min="4865" max="4865" width="11.109375" style="35" customWidth="1"/>
    <col min="4866" max="4877" width="10.21875" style="35" customWidth="1"/>
    <col min="4878" max="4878" width="10.33203125" style="35" customWidth="1"/>
    <col min="4879" max="5120" width="8.77734375" style="35"/>
    <col min="5121" max="5121" width="11.109375" style="35" customWidth="1"/>
    <col min="5122" max="5133" width="10.21875" style="35" customWidth="1"/>
    <col min="5134" max="5134" width="10.33203125" style="35" customWidth="1"/>
    <col min="5135" max="5376" width="8.77734375" style="35"/>
    <col min="5377" max="5377" width="11.109375" style="35" customWidth="1"/>
    <col min="5378" max="5389" width="10.21875" style="35" customWidth="1"/>
    <col min="5390" max="5390" width="10.33203125" style="35" customWidth="1"/>
    <col min="5391" max="5632" width="8.77734375" style="35"/>
    <col min="5633" max="5633" width="11.109375" style="35" customWidth="1"/>
    <col min="5634" max="5645" width="10.21875" style="35" customWidth="1"/>
    <col min="5646" max="5646" width="10.33203125" style="35" customWidth="1"/>
    <col min="5647" max="5888" width="8.77734375" style="35"/>
    <col min="5889" max="5889" width="11.109375" style="35" customWidth="1"/>
    <col min="5890" max="5901" width="10.21875" style="35" customWidth="1"/>
    <col min="5902" max="5902" width="10.33203125" style="35" customWidth="1"/>
    <col min="5903" max="6144" width="8.77734375" style="35"/>
    <col min="6145" max="6145" width="11.109375" style="35" customWidth="1"/>
    <col min="6146" max="6157" width="10.21875" style="35" customWidth="1"/>
    <col min="6158" max="6158" width="10.33203125" style="35" customWidth="1"/>
    <col min="6159" max="6400" width="8.77734375" style="35"/>
    <col min="6401" max="6401" width="11.109375" style="35" customWidth="1"/>
    <col min="6402" max="6413" width="10.21875" style="35" customWidth="1"/>
    <col min="6414" max="6414" width="10.33203125" style="35" customWidth="1"/>
    <col min="6415" max="6656" width="8.77734375" style="35"/>
    <col min="6657" max="6657" width="11.109375" style="35" customWidth="1"/>
    <col min="6658" max="6669" width="10.21875" style="35" customWidth="1"/>
    <col min="6670" max="6670" width="10.33203125" style="35" customWidth="1"/>
    <col min="6671" max="6912" width="8.77734375" style="35"/>
    <col min="6913" max="6913" width="11.109375" style="35" customWidth="1"/>
    <col min="6914" max="6925" width="10.21875" style="35" customWidth="1"/>
    <col min="6926" max="6926" width="10.33203125" style="35" customWidth="1"/>
    <col min="6927" max="7168" width="8.77734375" style="35"/>
    <col min="7169" max="7169" width="11.109375" style="35" customWidth="1"/>
    <col min="7170" max="7181" width="10.21875" style="35" customWidth="1"/>
    <col min="7182" max="7182" width="10.33203125" style="35" customWidth="1"/>
    <col min="7183" max="7424" width="8.77734375" style="35"/>
    <col min="7425" max="7425" width="11.109375" style="35" customWidth="1"/>
    <col min="7426" max="7437" width="10.21875" style="35" customWidth="1"/>
    <col min="7438" max="7438" width="10.33203125" style="35" customWidth="1"/>
    <col min="7439" max="7680" width="8.77734375" style="35"/>
    <col min="7681" max="7681" width="11.109375" style="35" customWidth="1"/>
    <col min="7682" max="7693" width="10.21875" style="35" customWidth="1"/>
    <col min="7694" max="7694" width="10.33203125" style="35" customWidth="1"/>
    <col min="7695" max="7936" width="8.77734375" style="35"/>
    <col min="7937" max="7937" width="11.109375" style="35" customWidth="1"/>
    <col min="7938" max="7949" width="10.21875" style="35" customWidth="1"/>
    <col min="7950" max="7950" width="10.33203125" style="35" customWidth="1"/>
    <col min="7951" max="8192" width="8.77734375" style="35"/>
    <col min="8193" max="8193" width="11.109375" style="35" customWidth="1"/>
    <col min="8194" max="8205" width="10.21875" style="35" customWidth="1"/>
    <col min="8206" max="8206" width="10.33203125" style="35" customWidth="1"/>
    <col min="8207" max="8448" width="8.77734375" style="35"/>
    <col min="8449" max="8449" width="11.109375" style="35" customWidth="1"/>
    <col min="8450" max="8461" width="10.21875" style="35" customWidth="1"/>
    <col min="8462" max="8462" width="10.33203125" style="35" customWidth="1"/>
    <col min="8463" max="8704" width="8.77734375" style="35"/>
    <col min="8705" max="8705" width="11.109375" style="35" customWidth="1"/>
    <col min="8706" max="8717" width="10.21875" style="35" customWidth="1"/>
    <col min="8718" max="8718" width="10.33203125" style="35" customWidth="1"/>
    <col min="8719" max="8960" width="8.77734375" style="35"/>
    <col min="8961" max="8961" width="11.109375" style="35" customWidth="1"/>
    <col min="8962" max="8973" width="10.21875" style="35" customWidth="1"/>
    <col min="8974" max="8974" width="10.33203125" style="35" customWidth="1"/>
    <col min="8975" max="9216" width="8.77734375" style="35"/>
    <col min="9217" max="9217" width="11.109375" style="35" customWidth="1"/>
    <col min="9218" max="9229" width="10.21875" style="35" customWidth="1"/>
    <col min="9230" max="9230" width="10.33203125" style="35" customWidth="1"/>
    <col min="9231" max="9472" width="8.77734375" style="35"/>
    <col min="9473" max="9473" width="11.109375" style="35" customWidth="1"/>
    <col min="9474" max="9485" width="10.21875" style="35" customWidth="1"/>
    <col min="9486" max="9486" width="10.33203125" style="35" customWidth="1"/>
    <col min="9487" max="9728" width="8.77734375" style="35"/>
    <col min="9729" max="9729" width="11.109375" style="35" customWidth="1"/>
    <col min="9730" max="9741" width="10.21875" style="35" customWidth="1"/>
    <col min="9742" max="9742" width="10.33203125" style="35" customWidth="1"/>
    <col min="9743" max="9984" width="8.77734375" style="35"/>
    <col min="9985" max="9985" width="11.109375" style="35" customWidth="1"/>
    <col min="9986" max="9997" width="10.21875" style="35" customWidth="1"/>
    <col min="9998" max="9998" width="10.33203125" style="35" customWidth="1"/>
    <col min="9999" max="10240" width="8.77734375" style="35"/>
    <col min="10241" max="10241" width="11.109375" style="35" customWidth="1"/>
    <col min="10242" max="10253" width="10.21875" style="35" customWidth="1"/>
    <col min="10254" max="10254" width="10.33203125" style="35" customWidth="1"/>
    <col min="10255" max="10496" width="8.77734375" style="35"/>
    <col min="10497" max="10497" width="11.109375" style="35" customWidth="1"/>
    <col min="10498" max="10509" width="10.21875" style="35" customWidth="1"/>
    <col min="10510" max="10510" width="10.33203125" style="35" customWidth="1"/>
    <col min="10511" max="10752" width="8.77734375" style="35"/>
    <col min="10753" max="10753" width="11.109375" style="35" customWidth="1"/>
    <col min="10754" max="10765" width="10.21875" style="35" customWidth="1"/>
    <col min="10766" max="10766" width="10.33203125" style="35" customWidth="1"/>
    <col min="10767" max="11008" width="8.77734375" style="35"/>
    <col min="11009" max="11009" width="11.109375" style="35" customWidth="1"/>
    <col min="11010" max="11021" width="10.21875" style="35" customWidth="1"/>
    <col min="11022" max="11022" width="10.33203125" style="35" customWidth="1"/>
    <col min="11023" max="11264" width="8.77734375" style="35"/>
    <col min="11265" max="11265" width="11.109375" style="35" customWidth="1"/>
    <col min="11266" max="11277" width="10.21875" style="35" customWidth="1"/>
    <col min="11278" max="11278" width="10.33203125" style="35" customWidth="1"/>
    <col min="11279" max="11520" width="8.77734375" style="35"/>
    <col min="11521" max="11521" width="11.109375" style="35" customWidth="1"/>
    <col min="11522" max="11533" width="10.21875" style="35" customWidth="1"/>
    <col min="11534" max="11534" width="10.33203125" style="35" customWidth="1"/>
    <col min="11535" max="11776" width="8.77734375" style="35"/>
    <col min="11777" max="11777" width="11.109375" style="35" customWidth="1"/>
    <col min="11778" max="11789" width="10.21875" style="35" customWidth="1"/>
    <col min="11790" max="11790" width="10.33203125" style="35" customWidth="1"/>
    <col min="11791" max="12032" width="8.77734375" style="35"/>
    <col min="12033" max="12033" width="11.109375" style="35" customWidth="1"/>
    <col min="12034" max="12045" width="10.21875" style="35" customWidth="1"/>
    <col min="12046" max="12046" width="10.33203125" style="35" customWidth="1"/>
    <col min="12047" max="12288" width="8.77734375" style="35"/>
    <col min="12289" max="12289" width="11.109375" style="35" customWidth="1"/>
    <col min="12290" max="12301" width="10.21875" style="35" customWidth="1"/>
    <col min="12302" max="12302" width="10.33203125" style="35" customWidth="1"/>
    <col min="12303" max="12544" width="8.77734375" style="35"/>
    <col min="12545" max="12545" width="11.109375" style="35" customWidth="1"/>
    <col min="12546" max="12557" width="10.21875" style="35" customWidth="1"/>
    <col min="12558" max="12558" width="10.33203125" style="35" customWidth="1"/>
    <col min="12559" max="12800" width="8.77734375" style="35"/>
    <col min="12801" max="12801" width="11.109375" style="35" customWidth="1"/>
    <col min="12802" max="12813" width="10.21875" style="35" customWidth="1"/>
    <col min="12814" max="12814" width="10.33203125" style="35" customWidth="1"/>
    <col min="12815" max="13056" width="8.77734375" style="35"/>
    <col min="13057" max="13057" width="11.109375" style="35" customWidth="1"/>
    <col min="13058" max="13069" width="10.21875" style="35" customWidth="1"/>
    <col min="13070" max="13070" width="10.33203125" style="35" customWidth="1"/>
    <col min="13071" max="13312" width="8.77734375" style="35"/>
    <col min="13313" max="13313" width="11.109375" style="35" customWidth="1"/>
    <col min="13314" max="13325" width="10.21875" style="35" customWidth="1"/>
    <col min="13326" max="13326" width="10.33203125" style="35" customWidth="1"/>
    <col min="13327" max="13568" width="8.77734375" style="35"/>
    <col min="13569" max="13569" width="11.109375" style="35" customWidth="1"/>
    <col min="13570" max="13581" width="10.21875" style="35" customWidth="1"/>
    <col min="13582" max="13582" width="10.33203125" style="35" customWidth="1"/>
    <col min="13583" max="13824" width="8.77734375" style="35"/>
    <col min="13825" max="13825" width="11.109375" style="35" customWidth="1"/>
    <col min="13826" max="13837" width="10.21875" style="35" customWidth="1"/>
    <col min="13838" max="13838" width="10.33203125" style="35" customWidth="1"/>
    <col min="13839" max="14080" width="8.77734375" style="35"/>
    <col min="14081" max="14081" width="11.109375" style="35" customWidth="1"/>
    <col min="14082" max="14093" width="10.21875" style="35" customWidth="1"/>
    <col min="14094" max="14094" width="10.33203125" style="35" customWidth="1"/>
    <col min="14095" max="14336" width="8.77734375" style="35"/>
    <col min="14337" max="14337" width="11.109375" style="35" customWidth="1"/>
    <col min="14338" max="14349" width="10.21875" style="35" customWidth="1"/>
    <col min="14350" max="14350" width="10.33203125" style="35" customWidth="1"/>
    <col min="14351" max="14592" width="8.77734375" style="35"/>
    <col min="14593" max="14593" width="11.109375" style="35" customWidth="1"/>
    <col min="14594" max="14605" width="10.21875" style="35" customWidth="1"/>
    <col min="14606" max="14606" width="10.33203125" style="35" customWidth="1"/>
    <col min="14607" max="14848" width="8.77734375" style="35"/>
    <col min="14849" max="14849" width="11.109375" style="35" customWidth="1"/>
    <col min="14850" max="14861" width="10.21875" style="35" customWidth="1"/>
    <col min="14862" max="14862" width="10.33203125" style="35" customWidth="1"/>
    <col min="14863" max="15104" width="8.77734375" style="35"/>
    <col min="15105" max="15105" width="11.109375" style="35" customWidth="1"/>
    <col min="15106" max="15117" width="10.21875" style="35" customWidth="1"/>
    <col min="15118" max="15118" width="10.33203125" style="35" customWidth="1"/>
    <col min="15119" max="15360" width="8.77734375" style="35"/>
    <col min="15361" max="15361" width="11.109375" style="35" customWidth="1"/>
    <col min="15362" max="15373" width="10.21875" style="35" customWidth="1"/>
    <col min="15374" max="15374" width="10.33203125" style="35" customWidth="1"/>
    <col min="15375" max="15616" width="8.77734375" style="35"/>
    <col min="15617" max="15617" width="11.109375" style="35" customWidth="1"/>
    <col min="15618" max="15629" width="10.21875" style="35" customWidth="1"/>
    <col min="15630" max="15630" width="10.33203125" style="35" customWidth="1"/>
    <col min="15631" max="15872" width="8.77734375" style="35"/>
    <col min="15873" max="15873" width="11.109375" style="35" customWidth="1"/>
    <col min="15874" max="15885" width="10.21875" style="35" customWidth="1"/>
    <col min="15886" max="15886" width="10.33203125" style="35" customWidth="1"/>
    <col min="15887" max="16128" width="8.77734375" style="35"/>
    <col min="16129" max="16129" width="11.109375" style="35" customWidth="1"/>
    <col min="16130" max="16141" width="10.21875" style="35" customWidth="1"/>
    <col min="16142" max="16142" width="10.33203125" style="35" customWidth="1"/>
    <col min="16143" max="16384" width="8.77734375" style="35"/>
  </cols>
  <sheetData>
    <row r="1" spans="1:16" ht="23.4" x14ac:dyDescent="0.3">
      <c r="A1" s="229" t="s">
        <v>208</v>
      </c>
      <c r="B1" s="230"/>
      <c r="C1" s="230"/>
      <c r="D1" s="230"/>
      <c r="E1" s="230"/>
      <c r="F1" s="230"/>
      <c r="G1" s="230"/>
      <c r="H1" s="230"/>
      <c r="I1" s="230"/>
      <c r="J1" s="230"/>
      <c r="K1" s="230"/>
      <c r="L1" s="230"/>
      <c r="M1" s="230"/>
      <c r="N1" s="230"/>
      <c r="O1" s="230"/>
      <c r="P1" s="230"/>
    </row>
    <row r="4" spans="1:16" ht="14.4" x14ac:dyDescent="0.2">
      <c r="A4" s="230" t="s">
        <v>209</v>
      </c>
      <c r="B4" s="230"/>
      <c r="C4" s="230"/>
      <c r="D4" s="230"/>
      <c r="E4" s="230"/>
      <c r="F4" s="230"/>
      <c r="G4" s="230"/>
      <c r="H4" s="230"/>
      <c r="I4" s="230"/>
      <c r="J4" s="230"/>
      <c r="K4" s="230"/>
      <c r="L4" s="230"/>
      <c r="M4" s="230"/>
      <c r="N4" s="230"/>
      <c r="O4" s="230"/>
      <c r="P4" s="230"/>
    </row>
    <row r="5" spans="1:16" ht="14.4" x14ac:dyDescent="0.2">
      <c r="A5" s="230"/>
      <c r="B5" s="231" t="s">
        <v>253</v>
      </c>
      <c r="C5" s="230"/>
      <c r="D5" s="230"/>
      <c r="E5" s="231"/>
      <c r="F5" s="230"/>
      <c r="G5" s="230"/>
      <c r="H5" s="230"/>
      <c r="I5" s="230"/>
      <c r="J5" s="230"/>
      <c r="K5" s="231" t="s">
        <v>254</v>
      </c>
      <c r="L5" s="230"/>
      <c r="M5" s="230"/>
      <c r="N5" s="230"/>
      <c r="O5" s="230"/>
      <c r="P5" s="230"/>
    </row>
    <row r="6" spans="1:16" ht="26.25" customHeight="1" x14ac:dyDescent="0.2">
      <c r="A6" s="232"/>
      <c r="B6" s="232" t="s">
        <v>212</v>
      </c>
      <c r="C6" s="232" t="s">
        <v>30</v>
      </c>
      <c r="D6" s="232" t="s">
        <v>31</v>
      </c>
      <c r="E6" s="232" t="s">
        <v>23</v>
      </c>
      <c r="F6" s="232" t="s">
        <v>24</v>
      </c>
      <c r="G6" s="232" t="s">
        <v>25</v>
      </c>
      <c r="H6" s="232" t="s">
        <v>213</v>
      </c>
      <c r="I6" s="232" t="s">
        <v>27</v>
      </c>
      <c r="J6" s="232" t="s">
        <v>32</v>
      </c>
      <c r="K6" s="232" t="s">
        <v>33</v>
      </c>
      <c r="L6" s="232" t="s">
        <v>34</v>
      </c>
      <c r="M6" s="232" t="s">
        <v>35</v>
      </c>
      <c r="N6" s="263" t="s">
        <v>255</v>
      </c>
      <c r="O6" s="263" t="s">
        <v>256</v>
      </c>
      <c r="P6" s="233"/>
    </row>
    <row r="7" spans="1:16" ht="25.5" customHeight="1" x14ac:dyDescent="0.2">
      <c r="A7" s="232" t="s">
        <v>214</v>
      </c>
      <c r="B7" s="312">
        <v>200</v>
      </c>
      <c r="C7" s="313">
        <v>198</v>
      </c>
      <c r="D7" s="313">
        <v>189</v>
      </c>
      <c r="E7" s="312">
        <v>200</v>
      </c>
      <c r="F7" s="312">
        <v>196</v>
      </c>
      <c r="G7" s="232"/>
      <c r="H7" s="232"/>
      <c r="I7" s="232"/>
      <c r="J7" s="232"/>
      <c r="K7" s="232"/>
      <c r="L7" s="232"/>
      <c r="M7" s="232"/>
      <c r="N7" s="234">
        <f>AVERAGE(B7:G7)</f>
        <v>196.6</v>
      </c>
      <c r="O7" s="234" t="e">
        <f>AVERAGE(H7:M7)</f>
        <v>#DIV/0!</v>
      </c>
      <c r="P7" s="233"/>
    </row>
    <row r="8" spans="1:16" ht="25.5" customHeight="1" x14ac:dyDescent="0.2">
      <c r="A8" s="232" t="s">
        <v>216</v>
      </c>
      <c r="B8" s="313">
        <v>193</v>
      </c>
      <c r="C8" s="312">
        <v>200</v>
      </c>
      <c r="D8" s="314">
        <v>194</v>
      </c>
      <c r="E8" s="315">
        <v>195</v>
      </c>
      <c r="F8" s="321">
        <v>194</v>
      </c>
      <c r="G8" s="232"/>
      <c r="H8" s="232"/>
      <c r="I8" s="232"/>
      <c r="J8" s="232"/>
      <c r="K8" s="232"/>
      <c r="L8" s="232"/>
      <c r="M8" s="232"/>
      <c r="N8" s="234">
        <f t="shared" ref="N8:N13" si="0">AVERAGE(B8:G8)</f>
        <v>195.2</v>
      </c>
      <c r="O8" s="234" t="e">
        <f t="shared" ref="O8:O13" si="1">AVERAGE(H8:M8)</f>
        <v>#DIV/0!</v>
      </c>
      <c r="P8" s="233"/>
    </row>
    <row r="9" spans="1:16" ht="25.5" customHeight="1" x14ac:dyDescent="0.2">
      <c r="A9" s="232" t="s">
        <v>217</v>
      </c>
      <c r="B9" s="314">
        <v>198</v>
      </c>
      <c r="C9" s="312">
        <v>200</v>
      </c>
      <c r="D9" s="315">
        <v>191</v>
      </c>
      <c r="E9" s="312">
        <v>200</v>
      </c>
      <c r="F9" s="312">
        <v>196</v>
      </c>
      <c r="G9" s="232"/>
      <c r="H9" s="232"/>
      <c r="I9" s="232"/>
      <c r="J9" s="232"/>
      <c r="K9" s="232"/>
      <c r="L9" s="232"/>
      <c r="M9" s="232"/>
      <c r="N9" s="234">
        <f t="shared" si="0"/>
        <v>197</v>
      </c>
      <c r="O9" s="234" t="e">
        <f t="shared" si="1"/>
        <v>#DIV/0!</v>
      </c>
      <c r="P9" s="233"/>
    </row>
    <row r="10" spans="1:16" ht="25.5" customHeight="1" x14ac:dyDescent="0.2">
      <c r="A10" s="235" t="s">
        <v>218</v>
      </c>
      <c r="B10" s="314">
        <v>198</v>
      </c>
      <c r="C10" s="312">
        <v>200</v>
      </c>
      <c r="D10" s="315">
        <v>195</v>
      </c>
      <c r="E10" s="312">
        <v>200</v>
      </c>
      <c r="F10" s="312">
        <v>196</v>
      </c>
      <c r="G10" s="232"/>
      <c r="H10" s="232"/>
      <c r="I10" s="232"/>
      <c r="J10" s="232"/>
      <c r="K10" s="232"/>
      <c r="L10" s="232"/>
      <c r="M10" s="232"/>
      <c r="N10" s="234">
        <f t="shared" si="0"/>
        <v>197.8</v>
      </c>
      <c r="O10" s="234" t="e">
        <f t="shared" si="1"/>
        <v>#DIV/0!</v>
      </c>
      <c r="P10" s="233"/>
    </row>
    <row r="11" spans="1:16" ht="25.5" customHeight="1" x14ac:dyDescent="0.2">
      <c r="A11" s="235" t="s">
        <v>219</v>
      </c>
      <c r="B11" s="314">
        <v>198</v>
      </c>
      <c r="C11" s="312">
        <v>200</v>
      </c>
      <c r="D11" s="312">
        <v>198</v>
      </c>
      <c r="E11" s="313">
        <v>194</v>
      </c>
      <c r="F11" s="312">
        <v>196</v>
      </c>
      <c r="G11" s="232"/>
      <c r="H11" s="232"/>
      <c r="I11" s="232"/>
      <c r="J11" s="232"/>
      <c r="K11" s="232"/>
      <c r="L11" s="232"/>
      <c r="M11" s="232"/>
      <c r="N11" s="234">
        <f t="shared" si="0"/>
        <v>197.2</v>
      </c>
      <c r="O11" s="234" t="e">
        <f t="shared" si="1"/>
        <v>#DIV/0!</v>
      </c>
      <c r="P11" s="233"/>
    </row>
    <row r="12" spans="1:16" ht="25.5" customHeight="1" thickBot="1" x14ac:dyDescent="0.25">
      <c r="A12" s="261" t="s">
        <v>220</v>
      </c>
      <c r="B12" s="316">
        <v>198</v>
      </c>
      <c r="C12" s="317">
        <v>198</v>
      </c>
      <c r="D12" s="316">
        <v>194</v>
      </c>
      <c r="E12" s="318">
        <v>200</v>
      </c>
      <c r="F12" s="318">
        <v>196</v>
      </c>
      <c r="G12" s="262"/>
      <c r="H12" s="262"/>
      <c r="I12" s="262"/>
      <c r="J12" s="262"/>
      <c r="K12" s="262"/>
      <c r="L12" s="262"/>
      <c r="M12" s="262"/>
      <c r="N12" s="234">
        <f t="shared" si="0"/>
        <v>197.2</v>
      </c>
      <c r="O12" s="234" t="e">
        <f t="shared" si="1"/>
        <v>#DIV/0!</v>
      </c>
      <c r="P12" s="233"/>
    </row>
    <row r="13" spans="1:16" ht="25.5" customHeight="1" thickTop="1" x14ac:dyDescent="0.2">
      <c r="A13" s="236" t="s">
        <v>221</v>
      </c>
      <c r="B13" s="319">
        <v>100</v>
      </c>
      <c r="C13" s="319">
        <v>100</v>
      </c>
      <c r="D13" s="319">
        <v>100</v>
      </c>
      <c r="E13" s="320">
        <v>85</v>
      </c>
      <c r="F13" s="319">
        <v>100</v>
      </c>
      <c r="G13" s="236"/>
      <c r="H13" s="236"/>
      <c r="I13" s="236"/>
      <c r="J13" s="236"/>
      <c r="K13" s="236"/>
      <c r="L13" s="236"/>
      <c r="M13" s="236"/>
      <c r="N13" s="234">
        <f t="shared" si="0"/>
        <v>97</v>
      </c>
      <c r="O13" s="234" t="e">
        <f t="shared" si="1"/>
        <v>#DIV/0!</v>
      </c>
      <c r="P13" s="233"/>
    </row>
    <row r="14" spans="1:16" ht="14.4" x14ac:dyDescent="0.2">
      <c r="A14" s="237"/>
      <c r="B14" s="230"/>
      <c r="C14" s="230"/>
      <c r="D14" s="230"/>
      <c r="E14" s="230"/>
      <c r="F14" s="230"/>
      <c r="G14" s="230"/>
      <c r="H14" s="230"/>
      <c r="I14" s="230"/>
      <c r="J14" s="230"/>
      <c r="K14" s="230"/>
      <c r="L14" s="230"/>
      <c r="M14" s="230"/>
      <c r="N14" s="230"/>
      <c r="O14" s="230"/>
      <c r="P14" s="230"/>
    </row>
    <row r="15" spans="1:16" ht="14.4" x14ac:dyDescent="0.2">
      <c r="A15" s="237"/>
      <c r="B15" s="230"/>
      <c r="C15" s="230"/>
      <c r="D15" s="230"/>
      <c r="E15" s="230"/>
      <c r="F15" s="230"/>
      <c r="G15" s="230"/>
      <c r="H15" s="230"/>
      <c r="I15" s="230"/>
      <c r="J15" s="230"/>
      <c r="K15" s="230"/>
      <c r="L15" s="230"/>
      <c r="M15" s="230"/>
      <c r="N15" s="230"/>
      <c r="O15" s="230"/>
      <c r="P15" s="230"/>
    </row>
    <row r="16" spans="1:16" ht="14.4" x14ac:dyDescent="0.2">
      <c r="A16" s="237"/>
      <c r="B16" s="230"/>
      <c r="C16" s="230"/>
      <c r="D16" s="230"/>
      <c r="E16" s="230"/>
      <c r="F16" s="230"/>
      <c r="G16" s="230"/>
      <c r="H16" s="230"/>
      <c r="I16" s="230"/>
      <c r="J16" s="230"/>
      <c r="K16" s="230"/>
      <c r="L16" s="230"/>
      <c r="M16" s="230"/>
      <c r="N16" s="230"/>
    </row>
    <row r="17" spans="1:14" ht="14.4" x14ac:dyDescent="0.2">
      <c r="A17" s="230" t="s">
        <v>222</v>
      </c>
      <c r="B17" s="230"/>
      <c r="C17" s="230"/>
      <c r="D17" s="230"/>
      <c r="E17" s="230"/>
      <c r="F17" s="230"/>
      <c r="G17" s="230"/>
      <c r="H17" s="230"/>
      <c r="I17" s="230"/>
      <c r="J17" s="230"/>
      <c r="K17" s="230"/>
      <c r="L17" s="230"/>
      <c r="M17" s="230"/>
      <c r="N17" s="230"/>
    </row>
    <row r="18" spans="1:14" ht="14.4" x14ac:dyDescent="0.2">
      <c r="A18" s="237"/>
      <c r="B18" s="231" t="s">
        <v>210</v>
      </c>
      <c r="C18" s="230"/>
      <c r="D18" s="230"/>
      <c r="E18" s="231"/>
      <c r="F18" s="230"/>
      <c r="G18" s="230"/>
      <c r="H18" s="230"/>
      <c r="I18" s="230"/>
      <c r="J18" s="230"/>
      <c r="K18" s="231" t="s">
        <v>211</v>
      </c>
      <c r="L18" s="230"/>
      <c r="M18" s="230"/>
      <c r="N18" s="230"/>
    </row>
    <row r="19" spans="1:14" ht="26.25" customHeight="1" x14ac:dyDescent="0.2">
      <c r="A19" s="232"/>
      <c r="B19" s="232" t="s">
        <v>212</v>
      </c>
      <c r="C19" s="232" t="s">
        <v>30</v>
      </c>
      <c r="D19" s="232" t="s">
        <v>31</v>
      </c>
      <c r="E19" s="232" t="s">
        <v>23</v>
      </c>
      <c r="F19" s="232" t="s">
        <v>24</v>
      </c>
      <c r="G19" s="232" t="s">
        <v>25</v>
      </c>
      <c r="H19" s="232" t="s">
        <v>213</v>
      </c>
      <c r="I19" s="232" t="s">
        <v>27</v>
      </c>
      <c r="J19" s="232" t="s">
        <v>32</v>
      </c>
      <c r="K19" s="232" t="s">
        <v>33</v>
      </c>
      <c r="L19" s="232" t="s">
        <v>34</v>
      </c>
      <c r="M19" s="232" t="s">
        <v>35</v>
      </c>
      <c r="N19" s="230"/>
    </row>
    <row r="20" spans="1:14" ht="26.25" customHeight="1" x14ac:dyDescent="0.2">
      <c r="A20" s="232" t="s">
        <v>214</v>
      </c>
      <c r="B20" s="312">
        <v>1</v>
      </c>
      <c r="C20" s="313">
        <v>5</v>
      </c>
      <c r="D20" s="321">
        <v>6</v>
      </c>
      <c r="E20" s="312">
        <v>1</v>
      </c>
      <c r="F20" s="312">
        <v>1</v>
      </c>
      <c r="G20" s="232"/>
      <c r="H20" s="232"/>
      <c r="I20" s="232"/>
      <c r="J20" s="232"/>
      <c r="K20" s="232"/>
      <c r="L20" s="232"/>
      <c r="M20" s="232"/>
      <c r="N20" s="238">
        <f t="shared" ref="N20:N22" si="2">AVERAGE(B20:M20)</f>
        <v>2.8</v>
      </c>
    </row>
    <row r="21" spans="1:14" ht="26.25" customHeight="1" x14ac:dyDescent="0.2">
      <c r="A21" s="232" t="s">
        <v>216</v>
      </c>
      <c r="B21" s="321">
        <v>6</v>
      </c>
      <c r="C21" s="312">
        <v>1</v>
      </c>
      <c r="D21" s="322">
        <v>3</v>
      </c>
      <c r="E21" s="315">
        <v>5</v>
      </c>
      <c r="F21" s="321">
        <v>6</v>
      </c>
      <c r="G21" s="232"/>
      <c r="H21" s="232"/>
      <c r="I21" s="232"/>
      <c r="J21" s="232"/>
      <c r="K21" s="232"/>
      <c r="L21" s="232"/>
      <c r="M21" s="232"/>
      <c r="N21" s="238">
        <f t="shared" si="2"/>
        <v>4.2</v>
      </c>
    </row>
    <row r="22" spans="1:14" ht="26.25" customHeight="1" x14ac:dyDescent="0.2">
      <c r="A22" s="232" t="s">
        <v>217</v>
      </c>
      <c r="B22" s="322">
        <v>2</v>
      </c>
      <c r="C22" s="312">
        <v>1</v>
      </c>
      <c r="D22" s="315">
        <v>5</v>
      </c>
      <c r="E22" s="312">
        <v>1</v>
      </c>
      <c r="F22" s="312">
        <v>1</v>
      </c>
      <c r="G22" s="232"/>
      <c r="H22" s="232"/>
      <c r="I22" s="232"/>
      <c r="J22" s="232"/>
      <c r="K22" s="232"/>
      <c r="L22" s="232"/>
      <c r="M22" s="232"/>
      <c r="N22" s="234">
        <f t="shared" si="2"/>
        <v>2</v>
      </c>
    </row>
    <row r="23" spans="1:14" ht="26.25" customHeight="1" x14ac:dyDescent="0.2">
      <c r="A23" s="235" t="s">
        <v>218</v>
      </c>
      <c r="B23" s="322">
        <v>2</v>
      </c>
      <c r="C23" s="312">
        <v>1</v>
      </c>
      <c r="D23" s="315">
        <v>2</v>
      </c>
      <c r="E23" s="312">
        <v>1</v>
      </c>
      <c r="F23" s="312">
        <v>1</v>
      </c>
      <c r="G23" s="232"/>
      <c r="H23" s="232"/>
      <c r="I23" s="232"/>
      <c r="J23" s="232"/>
      <c r="K23" s="232"/>
      <c r="L23" s="232"/>
      <c r="M23" s="232"/>
      <c r="N23" s="234">
        <f>AVERAGE(B23:M23)</f>
        <v>1.4</v>
      </c>
    </row>
    <row r="24" spans="1:14" ht="26.25" customHeight="1" x14ac:dyDescent="0.2">
      <c r="A24" s="235" t="s">
        <v>219</v>
      </c>
      <c r="B24" s="322">
        <v>2</v>
      </c>
      <c r="C24" s="312">
        <v>1</v>
      </c>
      <c r="D24" s="312">
        <v>1</v>
      </c>
      <c r="E24" s="321">
        <v>6</v>
      </c>
      <c r="F24" s="312">
        <v>1</v>
      </c>
      <c r="G24" s="232"/>
      <c r="H24" s="232"/>
      <c r="I24" s="232"/>
      <c r="J24" s="232"/>
      <c r="K24" s="232"/>
      <c r="L24" s="232"/>
      <c r="M24" s="232"/>
      <c r="N24" s="234">
        <f>AVERAGE(B24:M24)</f>
        <v>2.2000000000000002</v>
      </c>
    </row>
    <row r="25" spans="1:14" ht="26.25" customHeight="1" x14ac:dyDescent="0.2">
      <c r="A25" s="235" t="s">
        <v>220</v>
      </c>
      <c r="B25" s="322">
        <v>2</v>
      </c>
      <c r="C25" s="313">
        <v>5</v>
      </c>
      <c r="D25" s="322">
        <v>3</v>
      </c>
      <c r="E25" s="312">
        <v>1</v>
      </c>
      <c r="F25" s="312">
        <v>1</v>
      </c>
      <c r="G25" s="232"/>
      <c r="H25" s="232"/>
      <c r="I25" s="232"/>
      <c r="J25" s="232"/>
      <c r="K25" s="232"/>
      <c r="L25" s="232"/>
      <c r="M25" s="232"/>
      <c r="N25" s="234">
        <f>AVERAGE(B25:M25)</f>
        <v>2.4</v>
      </c>
    </row>
    <row r="28" spans="1:14" ht="14.4" x14ac:dyDescent="0.2">
      <c r="A28" s="230" t="s">
        <v>223</v>
      </c>
      <c r="B28" s="230"/>
      <c r="C28" s="230"/>
      <c r="D28" s="230"/>
      <c r="E28" s="230"/>
      <c r="F28" s="230"/>
      <c r="G28" s="230"/>
      <c r="H28" s="230"/>
      <c r="I28" s="230"/>
      <c r="J28" s="230"/>
      <c r="K28" s="230"/>
      <c r="L28" s="230"/>
      <c r="M28" s="230"/>
      <c r="N28" s="230"/>
    </row>
    <row r="30" spans="1:14" ht="69.75" customHeight="1" x14ac:dyDescent="0.2">
      <c r="A30" s="239"/>
      <c r="B30" s="483" t="s">
        <v>231</v>
      </c>
      <c r="C30" s="484"/>
      <c r="D30" s="485" t="s">
        <v>232</v>
      </c>
      <c r="E30" s="486"/>
      <c r="F30" s="483" t="s">
        <v>275</v>
      </c>
      <c r="G30" s="484"/>
      <c r="H30" s="483" t="s">
        <v>277</v>
      </c>
      <c r="I30" s="484"/>
    </row>
    <row r="31" spans="1:14" s="237" customFormat="1" ht="27" customHeight="1" x14ac:dyDescent="0.2">
      <c r="A31" s="232" t="s">
        <v>214</v>
      </c>
      <c r="B31" s="479">
        <v>1</v>
      </c>
      <c r="C31" s="480"/>
      <c r="D31" s="481">
        <v>0.95</v>
      </c>
      <c r="E31" s="482"/>
      <c r="F31" s="479">
        <v>1</v>
      </c>
      <c r="G31" s="480"/>
      <c r="H31" s="479">
        <v>1</v>
      </c>
      <c r="I31" s="480"/>
      <c r="J31" s="35"/>
      <c r="K31" s="35"/>
      <c r="L31" s="35"/>
    </row>
    <row r="32" spans="1:14" s="237" customFormat="1" ht="27" customHeight="1" x14ac:dyDescent="0.2">
      <c r="A32" s="232" t="s">
        <v>216</v>
      </c>
      <c r="B32" s="481">
        <v>0.98</v>
      </c>
      <c r="C32" s="482"/>
      <c r="D32" s="479">
        <v>1</v>
      </c>
      <c r="E32" s="480"/>
      <c r="F32" s="481">
        <v>0.8</v>
      </c>
      <c r="G32" s="482"/>
      <c r="H32" s="481">
        <v>0.8</v>
      </c>
      <c r="I32" s="482"/>
      <c r="J32" s="35"/>
      <c r="K32" s="35"/>
      <c r="L32" s="35"/>
    </row>
    <row r="33" spans="1:12" s="237" customFormat="1" ht="27" customHeight="1" x14ac:dyDescent="0.2">
      <c r="A33" s="232" t="s">
        <v>217</v>
      </c>
      <c r="B33" s="479">
        <v>1</v>
      </c>
      <c r="C33" s="480"/>
      <c r="D33" s="479">
        <v>1</v>
      </c>
      <c r="E33" s="480"/>
      <c r="F33" s="481">
        <v>0.8</v>
      </c>
      <c r="G33" s="482"/>
      <c r="H33" s="481">
        <v>0.8</v>
      </c>
      <c r="I33" s="482"/>
      <c r="J33" s="35"/>
      <c r="K33" s="35"/>
      <c r="L33" s="35"/>
    </row>
    <row r="34" spans="1:12" s="237" customFormat="1" ht="27" customHeight="1" x14ac:dyDescent="0.2">
      <c r="A34" s="235" t="s">
        <v>218</v>
      </c>
      <c r="B34" s="479">
        <v>1</v>
      </c>
      <c r="C34" s="480"/>
      <c r="D34" s="479">
        <v>1</v>
      </c>
      <c r="E34" s="480"/>
      <c r="F34" s="481">
        <v>0.8</v>
      </c>
      <c r="G34" s="482"/>
      <c r="H34" s="481">
        <v>0.8</v>
      </c>
      <c r="I34" s="482"/>
      <c r="J34" s="35"/>
      <c r="K34" s="35"/>
      <c r="L34" s="35"/>
    </row>
    <row r="35" spans="1:12" s="237" customFormat="1" ht="27" customHeight="1" x14ac:dyDescent="0.2">
      <c r="A35" s="235" t="s">
        <v>219</v>
      </c>
      <c r="B35" s="481">
        <v>0.98</v>
      </c>
      <c r="C35" s="482"/>
      <c r="D35" s="479">
        <v>1</v>
      </c>
      <c r="E35" s="480"/>
      <c r="F35" s="479">
        <v>1</v>
      </c>
      <c r="G35" s="480"/>
      <c r="H35" s="481">
        <v>0.8</v>
      </c>
      <c r="I35" s="482"/>
      <c r="J35" s="35"/>
      <c r="K35" s="35"/>
      <c r="L35" s="35"/>
    </row>
    <row r="36" spans="1:12" ht="13.95" hidden="1" customHeight="1" x14ac:dyDescent="0.2">
      <c r="A36" s="230"/>
      <c r="B36" s="481">
        <v>0.86</v>
      </c>
      <c r="C36" s="482"/>
      <c r="D36" s="481">
        <v>1.96</v>
      </c>
      <c r="E36" s="482"/>
      <c r="F36" s="479">
        <v>1</v>
      </c>
      <c r="G36" s="480"/>
      <c r="H36" s="479">
        <v>1</v>
      </c>
      <c r="I36" s="480"/>
    </row>
    <row r="37" spans="1:12" ht="13.95" hidden="1" customHeight="1" x14ac:dyDescent="0.2">
      <c r="A37" s="230" t="s">
        <v>224</v>
      </c>
      <c r="B37" s="481">
        <v>0.86</v>
      </c>
      <c r="C37" s="482"/>
      <c r="D37" s="481">
        <v>2.96</v>
      </c>
      <c r="E37" s="482"/>
      <c r="F37" s="479">
        <v>1</v>
      </c>
      <c r="G37" s="480"/>
      <c r="H37" s="479">
        <v>1</v>
      </c>
      <c r="I37" s="480"/>
    </row>
    <row r="38" spans="1:12" ht="13.95" hidden="1" customHeight="1" x14ac:dyDescent="0.2">
      <c r="A38" s="230"/>
      <c r="B38" s="481">
        <v>0.86</v>
      </c>
      <c r="C38" s="482"/>
      <c r="D38" s="481">
        <v>3.96</v>
      </c>
      <c r="E38" s="482"/>
      <c r="F38" s="479">
        <v>1</v>
      </c>
      <c r="G38" s="480"/>
      <c r="H38" s="479">
        <v>1</v>
      </c>
      <c r="I38" s="480"/>
    </row>
    <row r="39" spans="1:12" ht="13.95" hidden="1" customHeight="1" x14ac:dyDescent="0.2">
      <c r="A39" s="239"/>
      <c r="B39" s="481">
        <v>0.86</v>
      </c>
      <c r="C39" s="482"/>
      <c r="D39" s="481">
        <v>4.96</v>
      </c>
      <c r="E39" s="482"/>
      <c r="F39" s="479">
        <v>1</v>
      </c>
      <c r="G39" s="480"/>
      <c r="H39" s="479">
        <v>1</v>
      </c>
      <c r="I39" s="480"/>
    </row>
    <row r="40" spans="1:12" ht="24" hidden="1" customHeight="1" x14ac:dyDescent="0.2">
      <c r="A40" s="232" t="s">
        <v>214</v>
      </c>
      <c r="B40" s="481">
        <v>0.86</v>
      </c>
      <c r="C40" s="482"/>
      <c r="D40" s="481">
        <v>5.96</v>
      </c>
      <c r="E40" s="482"/>
      <c r="F40" s="479">
        <v>1</v>
      </c>
      <c r="G40" s="480"/>
      <c r="H40" s="479">
        <v>1</v>
      </c>
      <c r="I40" s="480"/>
    </row>
    <row r="41" spans="1:12" ht="24" hidden="1" customHeight="1" x14ac:dyDescent="0.2">
      <c r="A41" s="232" t="s">
        <v>215</v>
      </c>
      <c r="B41" s="481">
        <v>0.86</v>
      </c>
      <c r="C41" s="482"/>
      <c r="D41" s="481">
        <v>6.96</v>
      </c>
      <c r="E41" s="482"/>
      <c r="F41" s="479">
        <v>1</v>
      </c>
      <c r="G41" s="480"/>
      <c r="H41" s="479">
        <v>1</v>
      </c>
      <c r="I41" s="480"/>
    </row>
    <row r="42" spans="1:12" ht="24" hidden="1" customHeight="1" x14ac:dyDescent="0.2">
      <c r="A42" s="232" t="s">
        <v>225</v>
      </c>
      <c r="B42" s="481">
        <v>0.86</v>
      </c>
      <c r="C42" s="482"/>
      <c r="D42" s="481">
        <v>7.96</v>
      </c>
      <c r="E42" s="482"/>
      <c r="F42" s="479">
        <v>1</v>
      </c>
      <c r="G42" s="480"/>
      <c r="H42" s="479">
        <v>1</v>
      </c>
      <c r="I42" s="480"/>
    </row>
    <row r="43" spans="1:12" ht="24" hidden="1" customHeight="1" x14ac:dyDescent="0.2">
      <c r="A43" s="232" t="s">
        <v>216</v>
      </c>
      <c r="B43" s="481">
        <v>0.86</v>
      </c>
      <c r="C43" s="482"/>
      <c r="D43" s="481">
        <v>8.9600000000000009</v>
      </c>
      <c r="E43" s="482"/>
      <c r="F43" s="479">
        <v>1</v>
      </c>
      <c r="G43" s="480"/>
      <c r="H43" s="479">
        <v>1</v>
      </c>
      <c r="I43" s="480"/>
    </row>
    <row r="44" spans="1:12" ht="24" hidden="1" customHeight="1" x14ac:dyDescent="0.2">
      <c r="A44" s="240" t="s">
        <v>226</v>
      </c>
      <c r="B44" s="481">
        <v>0.86</v>
      </c>
      <c r="C44" s="482"/>
      <c r="D44" s="481">
        <v>9.9600000000000009</v>
      </c>
      <c r="E44" s="482"/>
      <c r="F44" s="479">
        <v>1</v>
      </c>
      <c r="G44" s="480"/>
      <c r="H44" s="479">
        <v>1</v>
      </c>
      <c r="I44" s="480"/>
    </row>
    <row r="45" spans="1:12" ht="24" hidden="1" customHeight="1" x14ac:dyDescent="0.2">
      <c r="A45" s="232" t="s">
        <v>217</v>
      </c>
      <c r="B45" s="481">
        <v>0.86</v>
      </c>
      <c r="C45" s="482"/>
      <c r="D45" s="481">
        <v>10.96</v>
      </c>
      <c r="E45" s="482"/>
      <c r="F45" s="479">
        <v>1</v>
      </c>
      <c r="G45" s="480"/>
      <c r="H45" s="479">
        <v>1</v>
      </c>
      <c r="I45" s="480"/>
    </row>
    <row r="46" spans="1:12" ht="24" hidden="1" customHeight="1" x14ac:dyDescent="0.2">
      <c r="A46" s="232" t="s">
        <v>221</v>
      </c>
      <c r="B46" s="481">
        <v>0.86</v>
      </c>
      <c r="C46" s="482"/>
      <c r="D46" s="481">
        <v>11.96</v>
      </c>
      <c r="E46" s="482"/>
      <c r="F46" s="479">
        <v>1</v>
      </c>
      <c r="G46" s="480"/>
      <c r="H46" s="479">
        <v>1</v>
      </c>
      <c r="I46" s="480"/>
    </row>
    <row r="47" spans="1:12" ht="13.95" hidden="1" customHeight="1" x14ac:dyDescent="0.2">
      <c r="A47" s="230"/>
      <c r="B47" s="481">
        <v>0.86</v>
      </c>
      <c r="C47" s="482"/>
      <c r="D47" s="481">
        <v>12.96</v>
      </c>
      <c r="E47" s="482"/>
      <c r="F47" s="479">
        <v>1</v>
      </c>
      <c r="G47" s="480"/>
      <c r="H47" s="479">
        <v>1</v>
      </c>
      <c r="I47" s="480"/>
    </row>
    <row r="48" spans="1:12" ht="13.95" hidden="1" customHeight="1" x14ac:dyDescent="0.2">
      <c r="A48" s="230"/>
      <c r="B48" s="481">
        <v>0.86</v>
      </c>
      <c r="C48" s="482"/>
      <c r="D48" s="481">
        <v>13.96</v>
      </c>
      <c r="E48" s="482"/>
      <c r="F48" s="479">
        <v>1</v>
      </c>
      <c r="G48" s="480"/>
      <c r="H48" s="479">
        <v>1</v>
      </c>
      <c r="I48" s="480"/>
    </row>
    <row r="49" spans="1:12" s="237" customFormat="1" ht="27" customHeight="1" x14ac:dyDescent="0.2">
      <c r="A49" s="235" t="s">
        <v>220</v>
      </c>
      <c r="B49" s="479">
        <v>1</v>
      </c>
      <c r="C49" s="480"/>
      <c r="D49" s="479">
        <v>1</v>
      </c>
      <c r="E49" s="480"/>
      <c r="F49" s="481">
        <v>0.8</v>
      </c>
      <c r="G49" s="482"/>
      <c r="H49" s="481">
        <v>0.8</v>
      </c>
      <c r="I49" s="482"/>
      <c r="J49" s="35"/>
      <c r="K49" s="35"/>
      <c r="L49" s="35"/>
    </row>
    <row r="50" spans="1:12" ht="14.4" x14ac:dyDescent="0.2">
      <c r="A50" s="230"/>
      <c r="B50" s="230"/>
      <c r="C50" s="230"/>
      <c r="D50" s="230"/>
      <c r="E50" s="230"/>
    </row>
  </sheetData>
  <mergeCells count="80">
    <mergeCell ref="B48:C48"/>
    <mergeCell ref="D48:E48"/>
    <mergeCell ref="H48:I48"/>
    <mergeCell ref="B49:C49"/>
    <mergeCell ref="D49:E49"/>
    <mergeCell ref="H49:I49"/>
    <mergeCell ref="F48:G48"/>
    <mergeCell ref="F49:G49"/>
    <mergeCell ref="B46:C46"/>
    <mergeCell ref="D46:E46"/>
    <mergeCell ref="H46:I46"/>
    <mergeCell ref="B47:C47"/>
    <mergeCell ref="D47:E47"/>
    <mergeCell ref="H47:I47"/>
    <mergeCell ref="F46:G46"/>
    <mergeCell ref="F47:G47"/>
    <mergeCell ref="B44:C44"/>
    <mergeCell ref="D44:E44"/>
    <mergeCell ref="H44:I44"/>
    <mergeCell ref="B45:C45"/>
    <mergeCell ref="D45:E45"/>
    <mergeCell ref="H45:I45"/>
    <mergeCell ref="F44:G44"/>
    <mergeCell ref="F45:G45"/>
    <mergeCell ref="B42:C42"/>
    <mergeCell ref="D42:E42"/>
    <mergeCell ref="H42:I42"/>
    <mergeCell ref="B43:C43"/>
    <mergeCell ref="D43:E43"/>
    <mergeCell ref="H43:I43"/>
    <mergeCell ref="F42:G42"/>
    <mergeCell ref="F43:G43"/>
    <mergeCell ref="B40:C40"/>
    <mergeCell ref="D40:E40"/>
    <mergeCell ref="H40:I40"/>
    <mergeCell ref="B41:C41"/>
    <mergeCell ref="D41:E41"/>
    <mergeCell ref="H41:I41"/>
    <mergeCell ref="F40:G40"/>
    <mergeCell ref="F41:G41"/>
    <mergeCell ref="B38:C38"/>
    <mergeCell ref="D38:E38"/>
    <mergeCell ref="H38:I38"/>
    <mergeCell ref="B39:C39"/>
    <mergeCell ref="D39:E39"/>
    <mergeCell ref="H39:I39"/>
    <mergeCell ref="F38:G38"/>
    <mergeCell ref="F39:G39"/>
    <mergeCell ref="B36:C36"/>
    <mergeCell ref="D36:E36"/>
    <mergeCell ref="H36:I36"/>
    <mergeCell ref="B37:C37"/>
    <mergeCell ref="D37:E37"/>
    <mergeCell ref="H37:I37"/>
    <mergeCell ref="F36:G36"/>
    <mergeCell ref="F37:G37"/>
    <mergeCell ref="B34:C34"/>
    <mergeCell ref="D34:E34"/>
    <mergeCell ref="H34:I34"/>
    <mergeCell ref="B35:C35"/>
    <mergeCell ref="D35:E35"/>
    <mergeCell ref="H35:I35"/>
    <mergeCell ref="F34:G34"/>
    <mergeCell ref="F35:G35"/>
    <mergeCell ref="B33:C33"/>
    <mergeCell ref="D33:E33"/>
    <mergeCell ref="H33:I33"/>
    <mergeCell ref="B30:C30"/>
    <mergeCell ref="D30:E30"/>
    <mergeCell ref="B31:C31"/>
    <mergeCell ref="D31:E31"/>
    <mergeCell ref="H30:I30"/>
    <mergeCell ref="H31:I31"/>
    <mergeCell ref="B32:C32"/>
    <mergeCell ref="D32:E32"/>
    <mergeCell ref="H32:I32"/>
    <mergeCell ref="F30:G30"/>
    <mergeCell ref="F31:G31"/>
    <mergeCell ref="F32:G32"/>
    <mergeCell ref="F33:G33"/>
  </mergeCells>
  <phoneticPr fontId="2"/>
  <pageMargins left="0" right="0" top="0.39370078740157483" bottom="0.39370078740157483" header="0.51181102362204722" footer="0.51181102362204722"/>
  <pageSetup paperSize="9" scale="65" orientation="portrait" r:id="rId1"/>
  <headerFooter alignWithMargins="0"/>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9"/>
  <sheetViews>
    <sheetView zoomScaleNormal="100" workbookViewId="0">
      <selection activeCell="G2" sqref="G2"/>
    </sheetView>
  </sheetViews>
  <sheetFormatPr defaultColWidth="9" defaultRowHeight="15" x14ac:dyDescent="0.3"/>
  <cols>
    <col min="1" max="1" width="5.21875" style="1" customWidth="1"/>
    <col min="2" max="6" width="11" style="1" customWidth="1"/>
    <col min="7" max="18" width="7.6640625" style="1" customWidth="1"/>
    <col min="19" max="16384" width="9" style="1"/>
  </cols>
  <sheetData>
    <row r="1" spans="1:18" ht="24.6" x14ac:dyDescent="0.45">
      <c r="A1" s="492" t="s">
        <v>54</v>
      </c>
      <c r="B1" s="492"/>
      <c r="C1" s="492"/>
      <c r="D1" s="492"/>
      <c r="E1" s="492"/>
      <c r="F1" s="492"/>
      <c r="G1" s="492"/>
      <c r="H1" s="492"/>
      <c r="I1" s="492"/>
      <c r="J1" s="492"/>
      <c r="K1" s="492"/>
      <c r="L1" s="492"/>
      <c r="M1" s="492"/>
      <c r="N1" s="492"/>
      <c r="O1" s="492"/>
      <c r="P1" s="492"/>
      <c r="Q1" s="492"/>
      <c r="R1" s="492"/>
    </row>
    <row r="3" spans="1:18" x14ac:dyDescent="0.3">
      <c r="B3" s="1" t="s">
        <v>56</v>
      </c>
      <c r="O3" s="493">
        <v>43466</v>
      </c>
      <c r="P3" s="493"/>
    </row>
    <row r="4" spans="1:18" x14ac:dyDescent="0.3">
      <c r="O4" s="494" t="s">
        <v>55</v>
      </c>
      <c r="P4" s="494"/>
    </row>
    <row r="5" spans="1:18" x14ac:dyDescent="0.3">
      <c r="B5" s="1" t="s">
        <v>57</v>
      </c>
    </row>
    <row r="6" spans="1:18" x14ac:dyDescent="0.3">
      <c r="B6" s="1" t="s">
        <v>86</v>
      </c>
    </row>
    <row r="8" spans="1:18" x14ac:dyDescent="0.3">
      <c r="B8" s="23"/>
      <c r="C8" s="1" t="s">
        <v>53</v>
      </c>
      <c r="F8" s="24"/>
      <c r="G8" s="1" t="s">
        <v>52</v>
      </c>
      <c r="J8" s="34" t="s">
        <v>90</v>
      </c>
    </row>
    <row r="9" spans="1:18" ht="39" customHeight="1" x14ac:dyDescent="0.3">
      <c r="A9" s="489" t="s">
        <v>28</v>
      </c>
      <c r="B9" s="490"/>
      <c r="C9" s="490"/>
      <c r="D9" s="490"/>
      <c r="E9" s="490"/>
      <c r="F9" s="491"/>
      <c r="G9" s="22" t="s">
        <v>29</v>
      </c>
      <c r="H9" s="20" t="s">
        <v>30</v>
      </c>
      <c r="I9" s="20" t="s">
        <v>31</v>
      </c>
      <c r="J9" s="20" t="s">
        <v>23</v>
      </c>
      <c r="K9" s="20" t="s">
        <v>24</v>
      </c>
      <c r="L9" s="20" t="s">
        <v>25</v>
      </c>
      <c r="M9" s="20" t="s">
        <v>26</v>
      </c>
      <c r="N9" s="20" t="s">
        <v>27</v>
      </c>
      <c r="O9" s="20" t="s">
        <v>32</v>
      </c>
      <c r="P9" s="20" t="s">
        <v>33</v>
      </c>
      <c r="Q9" s="20" t="s">
        <v>34</v>
      </c>
      <c r="R9" s="20" t="s">
        <v>35</v>
      </c>
    </row>
    <row r="10" spans="1:18" ht="39" customHeight="1" x14ac:dyDescent="0.3">
      <c r="A10" s="25" t="s">
        <v>36</v>
      </c>
      <c r="B10" s="487" t="s">
        <v>47</v>
      </c>
      <c r="C10" s="487"/>
      <c r="D10" s="487"/>
      <c r="E10" s="487"/>
      <c r="F10" s="488"/>
      <c r="G10" s="21"/>
      <c r="H10" s="18"/>
      <c r="I10" s="18"/>
      <c r="J10" s="18"/>
      <c r="K10" s="18"/>
      <c r="L10" s="18"/>
      <c r="M10" s="18"/>
      <c r="N10" s="18"/>
      <c r="O10" s="18"/>
      <c r="P10" s="18"/>
      <c r="Q10" s="18"/>
      <c r="R10" s="18"/>
    </row>
    <row r="11" spans="1:18" ht="39" customHeight="1" x14ac:dyDescent="0.3">
      <c r="A11" s="25" t="s">
        <v>37</v>
      </c>
      <c r="B11" s="487" t="s">
        <v>58</v>
      </c>
      <c r="C11" s="487"/>
      <c r="D11" s="487"/>
      <c r="E11" s="487"/>
      <c r="F11" s="488"/>
      <c r="G11" s="19"/>
      <c r="H11" s="17"/>
      <c r="I11" s="17"/>
      <c r="J11" s="17"/>
      <c r="K11" s="17"/>
      <c r="L11" s="17"/>
      <c r="M11" s="17"/>
      <c r="N11" s="17"/>
      <c r="O11" s="17"/>
      <c r="P11" s="17"/>
      <c r="Q11" s="17"/>
      <c r="R11" s="17"/>
    </row>
    <row r="12" spans="1:18" ht="39" customHeight="1" x14ac:dyDescent="0.3">
      <c r="A12" s="25" t="s">
        <v>38</v>
      </c>
      <c r="B12" s="487" t="s">
        <v>46</v>
      </c>
      <c r="C12" s="487"/>
      <c r="D12" s="487"/>
      <c r="E12" s="487"/>
      <c r="F12" s="488"/>
      <c r="G12" s="19"/>
      <c r="H12" s="17"/>
      <c r="I12" s="17"/>
      <c r="J12" s="17"/>
      <c r="K12" s="17"/>
      <c r="L12" s="17"/>
      <c r="M12" s="17"/>
      <c r="N12" s="17"/>
      <c r="O12" s="17"/>
      <c r="P12" s="17"/>
      <c r="Q12" s="17"/>
      <c r="R12" s="17"/>
    </row>
    <row r="13" spans="1:18" ht="39" customHeight="1" x14ac:dyDescent="0.3">
      <c r="A13" s="25" t="s">
        <v>39</v>
      </c>
      <c r="B13" s="487" t="s">
        <v>59</v>
      </c>
      <c r="C13" s="487"/>
      <c r="D13" s="487"/>
      <c r="E13" s="487"/>
      <c r="F13" s="488"/>
      <c r="G13" s="19"/>
      <c r="H13" s="17"/>
      <c r="I13" s="17"/>
      <c r="J13" s="17"/>
      <c r="K13" s="17"/>
      <c r="L13" s="17"/>
      <c r="M13" s="17"/>
      <c r="N13" s="17"/>
      <c r="O13" s="17"/>
      <c r="P13" s="17"/>
      <c r="Q13" s="17"/>
      <c r="R13" s="17"/>
    </row>
    <row r="14" spans="1:18" ht="39" customHeight="1" x14ac:dyDescent="0.3">
      <c r="A14" s="25" t="s">
        <v>40</v>
      </c>
      <c r="B14" s="487" t="s">
        <v>48</v>
      </c>
      <c r="C14" s="487"/>
      <c r="D14" s="487"/>
      <c r="E14" s="487"/>
      <c r="F14" s="488"/>
      <c r="G14" s="19"/>
      <c r="H14" s="17"/>
      <c r="I14" s="17"/>
      <c r="J14" s="17"/>
      <c r="K14" s="17"/>
      <c r="L14" s="17"/>
      <c r="M14" s="17"/>
      <c r="N14" s="17"/>
      <c r="O14" s="17"/>
      <c r="P14" s="17"/>
      <c r="Q14" s="17"/>
      <c r="R14" s="17"/>
    </row>
    <row r="15" spans="1:18" ht="39" customHeight="1" x14ac:dyDescent="0.3">
      <c r="A15" s="25" t="s">
        <v>41</v>
      </c>
      <c r="B15" s="487" t="s">
        <v>60</v>
      </c>
      <c r="C15" s="487"/>
      <c r="D15" s="487"/>
      <c r="E15" s="487"/>
      <c r="F15" s="488"/>
      <c r="G15" s="19"/>
      <c r="H15" s="17"/>
      <c r="I15" s="17"/>
      <c r="J15" s="17"/>
      <c r="K15" s="17"/>
      <c r="L15" s="17"/>
      <c r="M15" s="17"/>
      <c r="N15" s="17"/>
      <c r="O15" s="17"/>
      <c r="P15" s="17"/>
      <c r="Q15" s="17"/>
      <c r="R15" s="17"/>
    </row>
    <row r="16" spans="1:18" ht="39" customHeight="1" x14ac:dyDescent="0.3">
      <c r="A16" s="26" t="s">
        <v>42</v>
      </c>
      <c r="B16" s="487" t="s">
        <v>49</v>
      </c>
      <c r="C16" s="487"/>
      <c r="D16" s="487"/>
      <c r="E16" s="487"/>
      <c r="F16" s="488"/>
      <c r="G16" s="19"/>
      <c r="H16" s="17"/>
      <c r="I16" s="17"/>
      <c r="J16" s="17"/>
      <c r="K16" s="17"/>
      <c r="L16" s="17"/>
      <c r="M16" s="17"/>
      <c r="N16" s="17"/>
      <c r="O16" s="17"/>
      <c r="P16" s="17"/>
      <c r="Q16" s="17"/>
      <c r="R16" s="17"/>
    </row>
    <row r="17" spans="1:18" ht="39" customHeight="1" x14ac:dyDescent="0.3">
      <c r="A17" s="26" t="s">
        <v>43</v>
      </c>
      <c r="B17" s="487" t="s">
        <v>50</v>
      </c>
      <c r="C17" s="487"/>
      <c r="D17" s="487"/>
      <c r="E17" s="487"/>
      <c r="F17" s="488"/>
      <c r="G17" s="19"/>
      <c r="H17" s="17"/>
      <c r="I17" s="17"/>
      <c r="J17" s="17"/>
      <c r="K17" s="17"/>
      <c r="L17" s="17"/>
      <c r="M17" s="17"/>
      <c r="N17" s="17"/>
      <c r="O17" s="17"/>
      <c r="P17" s="17"/>
      <c r="Q17" s="17"/>
      <c r="R17" s="17"/>
    </row>
    <row r="18" spans="1:18" ht="39" customHeight="1" x14ac:dyDescent="0.3">
      <c r="A18" s="26" t="s">
        <v>44</v>
      </c>
      <c r="B18" s="487" t="s">
        <v>51</v>
      </c>
      <c r="C18" s="487"/>
      <c r="D18" s="487"/>
      <c r="E18" s="487"/>
      <c r="F18" s="488"/>
      <c r="G18" s="19"/>
      <c r="H18" s="17"/>
      <c r="I18" s="17"/>
      <c r="J18" s="17"/>
      <c r="K18" s="17"/>
      <c r="L18" s="17"/>
      <c r="M18" s="17"/>
      <c r="N18" s="17"/>
      <c r="O18" s="17"/>
      <c r="P18" s="17"/>
      <c r="Q18" s="17"/>
      <c r="R18" s="17"/>
    </row>
    <row r="19" spans="1:18" ht="39" customHeight="1" x14ac:dyDescent="0.3">
      <c r="A19" s="26" t="s">
        <v>45</v>
      </c>
      <c r="B19" s="487" t="s">
        <v>89</v>
      </c>
      <c r="C19" s="487"/>
      <c r="D19" s="487"/>
      <c r="E19" s="487"/>
      <c r="F19" s="488"/>
      <c r="G19" s="19"/>
      <c r="H19" s="17"/>
      <c r="I19" s="17"/>
      <c r="J19" s="17"/>
      <c r="K19" s="17"/>
      <c r="L19" s="17"/>
      <c r="M19" s="17"/>
      <c r="N19" s="17"/>
      <c r="O19" s="17"/>
      <c r="P19" s="17"/>
      <c r="Q19" s="17"/>
      <c r="R19" s="17"/>
    </row>
  </sheetData>
  <mergeCells count="14">
    <mergeCell ref="A1:R1"/>
    <mergeCell ref="O3:P3"/>
    <mergeCell ref="O4:P4"/>
    <mergeCell ref="B14:F14"/>
    <mergeCell ref="B15:F15"/>
    <mergeCell ref="B19:F19"/>
    <mergeCell ref="B16:F16"/>
    <mergeCell ref="B17:F17"/>
    <mergeCell ref="B18:F18"/>
    <mergeCell ref="A9:F9"/>
    <mergeCell ref="B10:F10"/>
    <mergeCell ref="B11:F11"/>
    <mergeCell ref="B12:F12"/>
    <mergeCell ref="B13:F13"/>
  </mergeCells>
  <phoneticPr fontId="2"/>
  <printOptions horizontalCentered="1" verticalCentered="1"/>
  <pageMargins left="0" right="0" top="0.39370078740157483" bottom="0.39370078740157483" header="0.31496062992125984" footer="0.31496062992125984"/>
  <pageSetup paperSize="9" scale="97"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04"/>
  <sheetViews>
    <sheetView workbookViewId="0">
      <selection activeCell="M7" sqref="M7:N7"/>
    </sheetView>
  </sheetViews>
  <sheetFormatPr defaultColWidth="9" defaultRowHeight="15" x14ac:dyDescent="0.3"/>
  <cols>
    <col min="1" max="1" width="4.109375" style="27" customWidth="1"/>
    <col min="2" max="2" width="19.6640625" style="28" customWidth="1"/>
    <col min="3" max="3" width="10.109375" style="28" customWidth="1"/>
    <col min="4" max="4" width="4.109375" style="1" customWidth="1"/>
    <col min="5" max="5" width="19.6640625" style="28" customWidth="1"/>
    <col min="6" max="6" width="10.109375" style="28" customWidth="1"/>
    <col min="7" max="7" width="4.109375" style="1" customWidth="1"/>
    <col min="8" max="8" width="19.6640625" style="28" customWidth="1"/>
    <col min="9" max="9" width="10.109375" style="28" customWidth="1"/>
    <col min="10" max="16384" width="9" style="1"/>
  </cols>
  <sheetData>
    <row r="1" spans="1:9" ht="24.6" x14ac:dyDescent="0.3">
      <c r="B1" s="495" t="s">
        <v>76</v>
      </c>
      <c r="C1" s="495"/>
      <c r="D1" s="495"/>
      <c r="E1" s="495"/>
      <c r="F1" s="495"/>
      <c r="G1" s="495"/>
      <c r="H1" s="495"/>
      <c r="I1" s="495"/>
    </row>
    <row r="3" spans="1:9" x14ac:dyDescent="0.3">
      <c r="B3" s="2" t="s">
        <v>72</v>
      </c>
      <c r="C3" s="2"/>
      <c r="D3" s="2"/>
      <c r="E3" s="2"/>
      <c r="F3" s="2"/>
      <c r="G3" s="2"/>
      <c r="H3" s="2"/>
      <c r="I3" s="2"/>
    </row>
    <row r="4" spans="1:9" x14ac:dyDescent="0.3">
      <c r="B4" s="2" t="s">
        <v>88</v>
      </c>
      <c r="C4" s="2"/>
      <c r="D4" s="2"/>
      <c r="E4" s="2"/>
      <c r="F4" s="2"/>
      <c r="G4" s="2"/>
      <c r="H4" s="2"/>
      <c r="I4" s="2"/>
    </row>
    <row r="5" spans="1:9" x14ac:dyDescent="0.3">
      <c r="C5" s="2"/>
      <c r="D5" s="2"/>
      <c r="E5" s="2"/>
      <c r="F5" s="2"/>
      <c r="G5" s="2"/>
      <c r="H5" s="2"/>
      <c r="I5" s="2"/>
    </row>
    <row r="6" spans="1:9" x14ac:dyDescent="0.3">
      <c r="B6" s="3" t="s">
        <v>77</v>
      </c>
      <c r="C6" s="2"/>
      <c r="D6" s="2"/>
      <c r="E6" s="2"/>
      <c r="F6" s="2"/>
      <c r="G6" s="2"/>
      <c r="H6" s="2"/>
      <c r="I6" s="2"/>
    </row>
    <row r="7" spans="1:9" x14ac:dyDescent="0.3">
      <c r="B7" s="2"/>
      <c r="C7" s="2"/>
      <c r="D7" s="2"/>
      <c r="E7" s="2"/>
      <c r="F7" s="2"/>
      <c r="G7" s="2"/>
      <c r="H7" s="2"/>
      <c r="I7" s="2"/>
    </row>
    <row r="8" spans="1:9" x14ac:dyDescent="0.3">
      <c r="B8" s="33" t="s">
        <v>85</v>
      </c>
      <c r="C8" s="27"/>
      <c r="E8" s="27"/>
      <c r="F8" s="27"/>
      <c r="H8" s="27"/>
      <c r="I8" s="27"/>
    </row>
    <row r="9" spans="1:9" s="29" customFormat="1" ht="30" customHeight="1" x14ac:dyDescent="0.2">
      <c r="A9" s="496" t="s">
        <v>79</v>
      </c>
      <c r="B9" s="496"/>
      <c r="C9" s="496"/>
      <c r="D9" s="496" t="s">
        <v>80</v>
      </c>
      <c r="E9" s="496"/>
      <c r="F9" s="496"/>
      <c r="G9" s="496" t="s">
        <v>81</v>
      </c>
      <c r="H9" s="496"/>
      <c r="I9" s="496"/>
    </row>
    <row r="10" spans="1:9" s="29" customFormat="1" ht="30" customHeight="1" thickBot="1" x14ac:dyDescent="0.25">
      <c r="A10" s="497" t="s">
        <v>61</v>
      </c>
      <c r="B10" s="497"/>
      <c r="C10" s="32" t="s">
        <v>62</v>
      </c>
      <c r="D10" s="497" t="s">
        <v>61</v>
      </c>
      <c r="E10" s="497"/>
      <c r="F10" s="32" t="s">
        <v>62</v>
      </c>
      <c r="G10" s="497" t="s">
        <v>61</v>
      </c>
      <c r="H10" s="497"/>
      <c r="I10" s="32" t="s">
        <v>62</v>
      </c>
    </row>
    <row r="11" spans="1:9" s="29" customFormat="1" ht="30" customHeight="1" thickTop="1" x14ac:dyDescent="0.2">
      <c r="A11" s="18" t="s">
        <v>64</v>
      </c>
      <c r="B11" s="31"/>
      <c r="C11" s="31"/>
      <c r="D11" s="18" t="s">
        <v>64</v>
      </c>
      <c r="E11" s="31"/>
      <c r="F11" s="31"/>
      <c r="G11" s="18" t="s">
        <v>64</v>
      </c>
      <c r="H11" s="31"/>
      <c r="I11" s="31"/>
    </row>
    <row r="12" spans="1:9" s="29" customFormat="1" ht="30" customHeight="1" x14ac:dyDescent="0.2">
      <c r="A12" s="17" t="s">
        <v>37</v>
      </c>
      <c r="B12" s="30"/>
      <c r="C12" s="30"/>
      <c r="D12" s="17" t="s">
        <v>37</v>
      </c>
      <c r="E12" s="30"/>
      <c r="F12" s="30"/>
      <c r="G12" s="17" t="s">
        <v>37</v>
      </c>
      <c r="H12" s="30"/>
      <c r="I12" s="30"/>
    </row>
    <row r="13" spans="1:9" s="29" customFormat="1" ht="30" customHeight="1" x14ac:dyDescent="0.2">
      <c r="A13" s="17" t="s">
        <v>38</v>
      </c>
      <c r="B13" s="30"/>
      <c r="C13" s="30"/>
      <c r="D13" s="17" t="s">
        <v>38</v>
      </c>
      <c r="E13" s="30"/>
      <c r="F13" s="30"/>
      <c r="G13" s="17" t="s">
        <v>38</v>
      </c>
      <c r="H13" s="30"/>
      <c r="I13" s="30"/>
    </row>
    <row r="14" spans="1:9" s="29" customFormat="1" ht="30" customHeight="1" x14ac:dyDescent="0.2">
      <c r="A14" s="17" t="s">
        <v>66</v>
      </c>
      <c r="B14" s="30"/>
      <c r="C14" s="30"/>
      <c r="D14" s="17" t="s">
        <v>66</v>
      </c>
      <c r="E14" s="30"/>
      <c r="F14" s="30"/>
      <c r="G14" s="17" t="s">
        <v>66</v>
      </c>
      <c r="H14" s="30"/>
      <c r="I14" s="30"/>
    </row>
    <row r="15" spans="1:9" s="29" customFormat="1" ht="30" customHeight="1" x14ac:dyDescent="0.2">
      <c r="A15" s="17" t="s">
        <v>67</v>
      </c>
      <c r="B15" s="30"/>
      <c r="C15" s="30"/>
      <c r="D15" s="17" t="s">
        <v>67</v>
      </c>
      <c r="E15" s="30"/>
      <c r="F15" s="30"/>
      <c r="G15" s="17" t="s">
        <v>67</v>
      </c>
      <c r="H15" s="30"/>
      <c r="I15" s="30"/>
    </row>
    <row r="16" spans="1:9" s="29" customFormat="1" ht="30" customHeight="1" x14ac:dyDescent="0.2">
      <c r="A16" s="17" t="s">
        <v>68</v>
      </c>
      <c r="B16" s="30"/>
      <c r="C16" s="30"/>
      <c r="D16" s="17" t="s">
        <v>68</v>
      </c>
      <c r="E16" s="30"/>
      <c r="F16" s="30"/>
      <c r="G16" s="17" t="s">
        <v>68</v>
      </c>
      <c r="H16" s="30"/>
      <c r="I16" s="30"/>
    </row>
    <row r="17" spans="1:9" s="29" customFormat="1" ht="30" customHeight="1" x14ac:dyDescent="0.2">
      <c r="A17" s="17" t="s">
        <v>42</v>
      </c>
      <c r="B17" s="30"/>
      <c r="C17" s="30"/>
      <c r="D17" s="17" t="s">
        <v>42</v>
      </c>
      <c r="E17" s="30"/>
      <c r="F17" s="30"/>
      <c r="G17" s="17" t="s">
        <v>42</v>
      </c>
      <c r="H17" s="30"/>
      <c r="I17" s="30"/>
    </row>
    <row r="18" spans="1:9" s="29" customFormat="1" ht="30" customHeight="1" x14ac:dyDescent="0.2">
      <c r="A18" s="17" t="s">
        <v>69</v>
      </c>
      <c r="B18" s="30"/>
      <c r="C18" s="30"/>
      <c r="D18" s="17" t="s">
        <v>69</v>
      </c>
      <c r="E18" s="30"/>
      <c r="F18" s="30"/>
      <c r="G18" s="17" t="s">
        <v>69</v>
      </c>
      <c r="H18" s="30"/>
      <c r="I18" s="30"/>
    </row>
    <row r="19" spans="1:9" s="29" customFormat="1" ht="30" customHeight="1" x14ac:dyDescent="0.2">
      <c r="A19" s="17" t="s">
        <v>70</v>
      </c>
      <c r="B19" s="30"/>
      <c r="C19" s="30"/>
      <c r="D19" s="17" t="s">
        <v>70</v>
      </c>
      <c r="E19" s="30"/>
      <c r="F19" s="30"/>
      <c r="G19" s="17" t="s">
        <v>70</v>
      </c>
      <c r="H19" s="30"/>
      <c r="I19" s="30"/>
    </row>
    <row r="20" spans="1:9" s="29" customFormat="1" ht="30" customHeight="1" x14ac:dyDescent="0.2">
      <c r="A20" s="17" t="s">
        <v>71</v>
      </c>
      <c r="B20" s="30"/>
      <c r="C20" s="30"/>
      <c r="D20" s="17" t="s">
        <v>71</v>
      </c>
      <c r="E20" s="30"/>
      <c r="F20" s="30"/>
      <c r="G20" s="17" t="s">
        <v>71</v>
      </c>
      <c r="H20" s="30"/>
      <c r="I20" s="30"/>
    </row>
    <row r="22" spans="1:9" x14ac:dyDescent="0.3">
      <c r="B22" s="33" t="s">
        <v>78</v>
      </c>
      <c r="C22" s="27"/>
      <c r="E22" s="27"/>
      <c r="F22" s="27"/>
      <c r="H22" s="27"/>
      <c r="I22" s="27"/>
    </row>
    <row r="23" spans="1:9" s="29" customFormat="1" ht="30" customHeight="1" x14ac:dyDescent="0.2">
      <c r="A23" s="496" t="s">
        <v>82</v>
      </c>
      <c r="B23" s="496"/>
      <c r="C23" s="496"/>
      <c r="D23" s="496" t="s">
        <v>83</v>
      </c>
      <c r="E23" s="496"/>
      <c r="F23" s="496"/>
      <c r="G23" s="496" t="s">
        <v>84</v>
      </c>
      <c r="H23" s="496"/>
      <c r="I23" s="496"/>
    </row>
    <row r="24" spans="1:9" s="29" customFormat="1" ht="30" customHeight="1" thickBot="1" x14ac:dyDescent="0.25">
      <c r="A24" s="497" t="s">
        <v>61</v>
      </c>
      <c r="B24" s="497"/>
      <c r="C24" s="32" t="s">
        <v>62</v>
      </c>
      <c r="D24" s="497" t="s">
        <v>61</v>
      </c>
      <c r="E24" s="497"/>
      <c r="F24" s="32" t="s">
        <v>62</v>
      </c>
      <c r="G24" s="497" t="s">
        <v>61</v>
      </c>
      <c r="H24" s="497"/>
      <c r="I24" s="32" t="s">
        <v>62</v>
      </c>
    </row>
    <row r="25" spans="1:9" s="29" customFormat="1" ht="30" customHeight="1" thickTop="1" x14ac:dyDescent="0.2">
      <c r="A25" s="18" t="s">
        <v>64</v>
      </c>
      <c r="B25" s="31"/>
      <c r="C25" s="31"/>
      <c r="D25" s="18" t="s">
        <v>64</v>
      </c>
      <c r="E25" s="31"/>
      <c r="F25" s="31"/>
      <c r="G25" s="18" t="s">
        <v>64</v>
      </c>
      <c r="H25" s="31"/>
      <c r="I25" s="31"/>
    </row>
    <row r="26" spans="1:9" s="29" customFormat="1" ht="30" customHeight="1" x14ac:dyDescent="0.2">
      <c r="A26" s="17" t="s">
        <v>37</v>
      </c>
      <c r="B26" s="30"/>
      <c r="C26" s="30"/>
      <c r="D26" s="17" t="s">
        <v>37</v>
      </c>
      <c r="E26" s="30"/>
      <c r="F26" s="30"/>
      <c r="G26" s="17" t="s">
        <v>37</v>
      </c>
      <c r="H26" s="30"/>
      <c r="I26" s="30"/>
    </row>
    <row r="27" spans="1:9" s="29" customFormat="1" ht="30" customHeight="1" x14ac:dyDescent="0.2">
      <c r="A27" s="17" t="s">
        <v>38</v>
      </c>
      <c r="B27" s="30"/>
      <c r="C27" s="30"/>
      <c r="D27" s="17" t="s">
        <v>38</v>
      </c>
      <c r="E27" s="30"/>
      <c r="F27" s="30"/>
      <c r="G27" s="17" t="s">
        <v>38</v>
      </c>
      <c r="H27" s="30"/>
      <c r="I27" s="30"/>
    </row>
    <row r="28" spans="1:9" s="29" customFormat="1" ht="30" customHeight="1" x14ac:dyDescent="0.2">
      <c r="A28" s="17" t="s">
        <v>66</v>
      </c>
      <c r="B28" s="30"/>
      <c r="C28" s="30"/>
      <c r="D28" s="17" t="s">
        <v>66</v>
      </c>
      <c r="E28" s="30"/>
      <c r="F28" s="30"/>
      <c r="G28" s="17" t="s">
        <v>66</v>
      </c>
      <c r="H28" s="30"/>
      <c r="I28" s="30"/>
    </row>
    <row r="29" spans="1:9" s="29" customFormat="1" ht="30" customHeight="1" x14ac:dyDescent="0.2">
      <c r="A29" s="17" t="s">
        <v>67</v>
      </c>
      <c r="B29" s="30"/>
      <c r="C29" s="30"/>
      <c r="D29" s="17" t="s">
        <v>67</v>
      </c>
      <c r="E29" s="30"/>
      <c r="F29" s="30"/>
      <c r="G29" s="17" t="s">
        <v>67</v>
      </c>
      <c r="H29" s="30"/>
      <c r="I29" s="30"/>
    </row>
    <row r="30" spans="1:9" s="29" customFormat="1" ht="30" customHeight="1" x14ac:dyDescent="0.2">
      <c r="A30" s="17" t="s">
        <v>68</v>
      </c>
      <c r="B30" s="30"/>
      <c r="C30" s="30"/>
      <c r="D30" s="17" t="s">
        <v>68</v>
      </c>
      <c r="E30" s="30"/>
      <c r="F30" s="30"/>
      <c r="G30" s="17" t="s">
        <v>68</v>
      </c>
      <c r="H30" s="30"/>
      <c r="I30" s="30"/>
    </row>
    <row r="31" spans="1:9" s="29" customFormat="1" ht="30" customHeight="1" x14ac:dyDescent="0.2">
      <c r="A31" s="17" t="s">
        <v>42</v>
      </c>
      <c r="B31" s="30"/>
      <c r="C31" s="30"/>
      <c r="D31" s="17" t="s">
        <v>42</v>
      </c>
      <c r="E31" s="30"/>
      <c r="F31" s="30"/>
      <c r="G31" s="17" t="s">
        <v>42</v>
      </c>
      <c r="H31" s="30"/>
      <c r="I31" s="30"/>
    </row>
    <row r="32" spans="1:9" s="29" customFormat="1" ht="30" customHeight="1" x14ac:dyDescent="0.2">
      <c r="A32" s="17" t="s">
        <v>69</v>
      </c>
      <c r="B32" s="30"/>
      <c r="C32" s="30"/>
      <c r="D32" s="17" t="s">
        <v>69</v>
      </c>
      <c r="E32" s="30"/>
      <c r="F32" s="30"/>
      <c r="G32" s="17" t="s">
        <v>69</v>
      </c>
      <c r="H32" s="30"/>
      <c r="I32" s="30"/>
    </row>
    <row r="33" spans="1:9" s="29" customFormat="1" ht="30" customHeight="1" x14ac:dyDescent="0.2">
      <c r="A33" s="17" t="s">
        <v>70</v>
      </c>
      <c r="B33" s="30"/>
      <c r="C33" s="30"/>
      <c r="D33" s="17" t="s">
        <v>70</v>
      </c>
      <c r="E33" s="30"/>
      <c r="F33" s="30"/>
      <c r="G33" s="17" t="s">
        <v>70</v>
      </c>
      <c r="H33" s="30"/>
      <c r="I33" s="30"/>
    </row>
    <row r="34" spans="1:9" s="29" customFormat="1" ht="30" customHeight="1" x14ac:dyDescent="0.2">
      <c r="A34" s="17" t="s">
        <v>71</v>
      </c>
      <c r="B34" s="30"/>
      <c r="C34" s="30"/>
      <c r="D34" s="17" t="s">
        <v>71</v>
      </c>
      <c r="E34" s="30"/>
      <c r="F34" s="30"/>
      <c r="G34" s="17" t="s">
        <v>71</v>
      </c>
      <c r="H34" s="30"/>
      <c r="I34" s="30"/>
    </row>
    <row r="36" spans="1:9" ht="24.6" x14ac:dyDescent="0.3">
      <c r="B36" s="495" t="s">
        <v>76</v>
      </c>
      <c r="C36" s="495"/>
      <c r="D36" s="495"/>
      <c r="E36" s="495"/>
      <c r="F36" s="495"/>
      <c r="G36" s="495"/>
      <c r="H36" s="495"/>
      <c r="I36" s="495"/>
    </row>
    <row r="38" spans="1:9" x14ac:dyDescent="0.3">
      <c r="B38" s="2" t="s">
        <v>72</v>
      </c>
      <c r="C38" s="2"/>
      <c r="D38" s="2"/>
      <c r="E38" s="2"/>
      <c r="F38" s="2"/>
      <c r="G38" s="2"/>
      <c r="H38" s="2"/>
      <c r="I38" s="2"/>
    </row>
    <row r="39" spans="1:9" x14ac:dyDescent="0.3">
      <c r="B39" s="2" t="s">
        <v>88</v>
      </c>
      <c r="C39" s="2"/>
      <c r="D39" s="2"/>
      <c r="E39" s="2"/>
      <c r="F39" s="2"/>
      <c r="G39" s="2"/>
      <c r="H39" s="2"/>
      <c r="I39" s="2"/>
    </row>
    <row r="40" spans="1:9" x14ac:dyDescent="0.3">
      <c r="C40" s="2"/>
      <c r="D40" s="2"/>
      <c r="E40" s="2"/>
      <c r="F40" s="2"/>
      <c r="G40" s="2"/>
      <c r="H40" s="2"/>
      <c r="I40" s="2"/>
    </row>
    <row r="41" spans="1:9" x14ac:dyDescent="0.3">
      <c r="B41" s="3" t="s">
        <v>77</v>
      </c>
      <c r="C41" s="2"/>
      <c r="D41" s="2"/>
      <c r="E41" s="2"/>
      <c r="F41" s="2"/>
      <c r="G41" s="2"/>
      <c r="H41" s="2"/>
      <c r="I41" s="2"/>
    </row>
    <row r="42" spans="1:9" x14ac:dyDescent="0.3">
      <c r="B42" s="2"/>
      <c r="C42" s="2"/>
      <c r="D42" s="2"/>
      <c r="E42" s="2"/>
      <c r="F42" s="2"/>
      <c r="G42" s="2"/>
      <c r="H42" s="2"/>
      <c r="I42" s="2"/>
    </row>
    <row r="43" spans="1:9" x14ac:dyDescent="0.3">
      <c r="B43" s="33" t="s">
        <v>78</v>
      </c>
      <c r="C43" s="27"/>
      <c r="E43" s="27"/>
      <c r="F43" s="27"/>
      <c r="H43" s="27"/>
      <c r="I43" s="27"/>
    </row>
    <row r="44" spans="1:9" s="29" customFormat="1" ht="30" customHeight="1" x14ac:dyDescent="0.2">
      <c r="A44" s="496" t="s">
        <v>29</v>
      </c>
      <c r="B44" s="496"/>
      <c r="C44" s="496"/>
      <c r="D44" s="496" t="s">
        <v>63</v>
      </c>
      <c r="E44" s="496"/>
      <c r="F44" s="496"/>
      <c r="G44" s="496" t="s">
        <v>22</v>
      </c>
      <c r="H44" s="496"/>
      <c r="I44" s="496"/>
    </row>
    <row r="45" spans="1:9" s="29" customFormat="1" ht="30" customHeight="1" thickBot="1" x14ac:dyDescent="0.25">
      <c r="A45" s="497" t="s">
        <v>61</v>
      </c>
      <c r="B45" s="497"/>
      <c r="C45" s="32" t="s">
        <v>62</v>
      </c>
      <c r="D45" s="497" t="s">
        <v>61</v>
      </c>
      <c r="E45" s="497"/>
      <c r="F45" s="32" t="s">
        <v>62</v>
      </c>
      <c r="G45" s="497" t="s">
        <v>61</v>
      </c>
      <c r="H45" s="497"/>
      <c r="I45" s="32" t="s">
        <v>62</v>
      </c>
    </row>
    <row r="46" spans="1:9" s="29" customFormat="1" ht="30" customHeight="1" thickTop="1" x14ac:dyDescent="0.2">
      <c r="A46" s="18" t="s">
        <v>64</v>
      </c>
      <c r="B46" s="31"/>
      <c r="C46" s="31"/>
      <c r="D46" s="18" t="s">
        <v>64</v>
      </c>
      <c r="E46" s="31"/>
      <c r="F46" s="31"/>
      <c r="G46" s="18" t="s">
        <v>64</v>
      </c>
      <c r="H46" s="31"/>
      <c r="I46" s="31"/>
    </row>
    <row r="47" spans="1:9" s="29" customFormat="1" ht="30" customHeight="1" x14ac:dyDescent="0.2">
      <c r="A47" s="17" t="s">
        <v>37</v>
      </c>
      <c r="B47" s="30"/>
      <c r="C47" s="30"/>
      <c r="D47" s="17" t="s">
        <v>37</v>
      </c>
      <c r="E47" s="30"/>
      <c r="F47" s="30"/>
      <c r="G47" s="17" t="s">
        <v>37</v>
      </c>
      <c r="H47" s="30"/>
      <c r="I47" s="30"/>
    </row>
    <row r="48" spans="1:9" s="29" customFormat="1" ht="30" customHeight="1" x14ac:dyDescent="0.2">
      <c r="A48" s="17" t="s">
        <v>65</v>
      </c>
      <c r="B48" s="30"/>
      <c r="C48" s="30"/>
      <c r="D48" s="17" t="s">
        <v>65</v>
      </c>
      <c r="E48" s="30"/>
      <c r="F48" s="30"/>
      <c r="G48" s="17" t="s">
        <v>65</v>
      </c>
      <c r="H48" s="30"/>
      <c r="I48" s="30"/>
    </row>
    <row r="49" spans="1:9" s="29" customFormat="1" ht="30" customHeight="1" x14ac:dyDescent="0.2">
      <c r="A49" s="17" t="s">
        <v>66</v>
      </c>
      <c r="B49" s="30"/>
      <c r="C49" s="30"/>
      <c r="D49" s="17" t="s">
        <v>66</v>
      </c>
      <c r="E49" s="30"/>
      <c r="F49" s="30"/>
      <c r="G49" s="17" t="s">
        <v>66</v>
      </c>
      <c r="H49" s="30"/>
      <c r="I49" s="30"/>
    </row>
    <row r="50" spans="1:9" s="29" customFormat="1" ht="30" customHeight="1" x14ac:dyDescent="0.2">
      <c r="A50" s="17" t="s">
        <v>67</v>
      </c>
      <c r="B50" s="30"/>
      <c r="C50" s="30"/>
      <c r="D50" s="17" t="s">
        <v>67</v>
      </c>
      <c r="E50" s="30"/>
      <c r="F50" s="30"/>
      <c r="G50" s="17" t="s">
        <v>67</v>
      </c>
      <c r="H50" s="30"/>
      <c r="I50" s="30"/>
    </row>
    <row r="51" spans="1:9" s="29" customFormat="1" ht="30" customHeight="1" x14ac:dyDescent="0.2">
      <c r="A51" s="17" t="s">
        <v>68</v>
      </c>
      <c r="B51" s="30"/>
      <c r="C51" s="30"/>
      <c r="D51" s="17" t="s">
        <v>68</v>
      </c>
      <c r="E51" s="30"/>
      <c r="F51" s="30"/>
      <c r="G51" s="17" t="s">
        <v>68</v>
      </c>
      <c r="H51" s="30"/>
      <c r="I51" s="30"/>
    </row>
    <row r="52" spans="1:9" s="29" customFormat="1" ht="30" customHeight="1" x14ac:dyDescent="0.2">
      <c r="A52" s="17" t="s">
        <v>42</v>
      </c>
      <c r="B52" s="30"/>
      <c r="C52" s="30"/>
      <c r="D52" s="17" t="s">
        <v>42</v>
      </c>
      <c r="E52" s="30"/>
      <c r="F52" s="30"/>
      <c r="G52" s="17" t="s">
        <v>42</v>
      </c>
      <c r="H52" s="30"/>
      <c r="I52" s="30"/>
    </row>
    <row r="53" spans="1:9" s="29" customFormat="1" ht="30" customHeight="1" x14ac:dyDescent="0.2">
      <c r="A53" s="17" t="s">
        <v>69</v>
      </c>
      <c r="B53" s="30"/>
      <c r="C53" s="30"/>
      <c r="D53" s="17" t="s">
        <v>69</v>
      </c>
      <c r="E53" s="30"/>
      <c r="F53" s="30"/>
      <c r="G53" s="17" t="s">
        <v>69</v>
      </c>
      <c r="H53" s="30"/>
      <c r="I53" s="30"/>
    </row>
    <row r="54" spans="1:9" s="29" customFormat="1" ht="30" customHeight="1" x14ac:dyDescent="0.2">
      <c r="A54" s="17" t="s">
        <v>70</v>
      </c>
      <c r="B54" s="30"/>
      <c r="C54" s="30"/>
      <c r="D54" s="17" t="s">
        <v>70</v>
      </c>
      <c r="E54" s="30"/>
      <c r="F54" s="30"/>
      <c r="G54" s="17" t="s">
        <v>70</v>
      </c>
      <c r="H54" s="30"/>
      <c r="I54" s="30"/>
    </row>
    <row r="55" spans="1:9" s="29" customFormat="1" ht="30" customHeight="1" x14ac:dyDescent="0.2">
      <c r="A55" s="17" t="s">
        <v>71</v>
      </c>
      <c r="B55" s="30"/>
      <c r="C55" s="30"/>
      <c r="D55" s="17" t="s">
        <v>71</v>
      </c>
      <c r="E55" s="30"/>
      <c r="F55" s="30"/>
      <c r="G55" s="17" t="s">
        <v>71</v>
      </c>
      <c r="H55" s="30"/>
      <c r="I55" s="30"/>
    </row>
    <row r="57" spans="1:9" x14ac:dyDescent="0.3">
      <c r="B57" s="27"/>
      <c r="C57" s="27"/>
      <c r="E57" s="27"/>
      <c r="F57" s="27"/>
      <c r="H57" s="27"/>
      <c r="I57" s="27"/>
    </row>
    <row r="58" spans="1:9" s="29" customFormat="1" ht="30" customHeight="1" x14ac:dyDescent="0.2">
      <c r="A58" s="496" t="s">
        <v>73</v>
      </c>
      <c r="B58" s="496"/>
      <c r="C58" s="496"/>
      <c r="D58" s="496" t="s">
        <v>74</v>
      </c>
      <c r="E58" s="496"/>
      <c r="F58" s="496"/>
      <c r="G58" s="496" t="s">
        <v>75</v>
      </c>
      <c r="H58" s="496"/>
      <c r="I58" s="496"/>
    </row>
    <row r="59" spans="1:9" s="29" customFormat="1" ht="30" customHeight="1" thickBot="1" x14ac:dyDescent="0.25">
      <c r="A59" s="497" t="s">
        <v>61</v>
      </c>
      <c r="B59" s="497"/>
      <c r="C59" s="32" t="s">
        <v>62</v>
      </c>
      <c r="D59" s="497" t="s">
        <v>61</v>
      </c>
      <c r="E59" s="497"/>
      <c r="F59" s="32" t="s">
        <v>62</v>
      </c>
      <c r="G59" s="497" t="s">
        <v>61</v>
      </c>
      <c r="H59" s="497"/>
      <c r="I59" s="32" t="s">
        <v>62</v>
      </c>
    </row>
    <row r="60" spans="1:9" s="29" customFormat="1" ht="30" customHeight="1" thickTop="1" x14ac:dyDescent="0.2">
      <c r="A60" s="18" t="s">
        <v>64</v>
      </c>
      <c r="B60" s="31"/>
      <c r="C60" s="31"/>
      <c r="D60" s="18" t="s">
        <v>64</v>
      </c>
      <c r="E60" s="31"/>
      <c r="F60" s="31"/>
      <c r="G60" s="18" t="s">
        <v>64</v>
      </c>
      <c r="H60" s="31"/>
      <c r="I60" s="31"/>
    </row>
    <row r="61" spans="1:9" s="29" customFormat="1" ht="30" customHeight="1" x14ac:dyDescent="0.2">
      <c r="A61" s="17" t="s">
        <v>37</v>
      </c>
      <c r="B61" s="30"/>
      <c r="C61" s="30"/>
      <c r="D61" s="17" t="s">
        <v>37</v>
      </c>
      <c r="E61" s="30"/>
      <c r="F61" s="30"/>
      <c r="G61" s="17" t="s">
        <v>37</v>
      </c>
      <c r="H61" s="30"/>
      <c r="I61" s="30"/>
    </row>
    <row r="62" spans="1:9" s="29" customFormat="1" ht="30" customHeight="1" x14ac:dyDescent="0.2">
      <c r="A62" s="17" t="s">
        <v>65</v>
      </c>
      <c r="B62" s="30"/>
      <c r="C62" s="30"/>
      <c r="D62" s="17" t="s">
        <v>65</v>
      </c>
      <c r="E62" s="30"/>
      <c r="F62" s="30"/>
      <c r="G62" s="17" t="s">
        <v>65</v>
      </c>
      <c r="H62" s="30"/>
      <c r="I62" s="30"/>
    </row>
    <row r="63" spans="1:9" s="29" customFormat="1" ht="30" customHeight="1" x14ac:dyDescent="0.2">
      <c r="A63" s="17" t="s">
        <v>66</v>
      </c>
      <c r="B63" s="30"/>
      <c r="C63" s="30"/>
      <c r="D63" s="17" t="s">
        <v>66</v>
      </c>
      <c r="E63" s="30"/>
      <c r="F63" s="30"/>
      <c r="G63" s="17" t="s">
        <v>66</v>
      </c>
      <c r="H63" s="30"/>
      <c r="I63" s="30"/>
    </row>
    <row r="64" spans="1:9" s="29" customFormat="1" ht="30" customHeight="1" x14ac:dyDescent="0.2">
      <c r="A64" s="17" t="s">
        <v>67</v>
      </c>
      <c r="B64" s="30"/>
      <c r="C64" s="30"/>
      <c r="D64" s="17" t="s">
        <v>67</v>
      </c>
      <c r="E64" s="30"/>
      <c r="F64" s="30"/>
      <c r="G64" s="17" t="s">
        <v>67</v>
      </c>
      <c r="H64" s="30"/>
      <c r="I64" s="30"/>
    </row>
    <row r="65" spans="1:9" s="29" customFormat="1" ht="30" customHeight="1" x14ac:dyDescent="0.2">
      <c r="A65" s="17" t="s">
        <v>68</v>
      </c>
      <c r="B65" s="30"/>
      <c r="C65" s="30"/>
      <c r="D65" s="17" t="s">
        <v>68</v>
      </c>
      <c r="E65" s="30"/>
      <c r="F65" s="30"/>
      <c r="G65" s="17" t="s">
        <v>68</v>
      </c>
      <c r="H65" s="30"/>
      <c r="I65" s="30"/>
    </row>
    <row r="66" spans="1:9" s="29" customFormat="1" ht="30" customHeight="1" x14ac:dyDescent="0.2">
      <c r="A66" s="17" t="s">
        <v>42</v>
      </c>
      <c r="B66" s="30"/>
      <c r="C66" s="30"/>
      <c r="D66" s="17" t="s">
        <v>42</v>
      </c>
      <c r="E66" s="30"/>
      <c r="F66" s="30"/>
      <c r="G66" s="17" t="s">
        <v>42</v>
      </c>
      <c r="H66" s="30"/>
      <c r="I66" s="30"/>
    </row>
    <row r="67" spans="1:9" s="29" customFormat="1" ht="30" customHeight="1" x14ac:dyDescent="0.2">
      <c r="A67" s="17" t="s">
        <v>69</v>
      </c>
      <c r="B67" s="30"/>
      <c r="C67" s="30"/>
      <c r="D67" s="17" t="s">
        <v>69</v>
      </c>
      <c r="E67" s="30"/>
      <c r="F67" s="30"/>
      <c r="G67" s="17" t="s">
        <v>69</v>
      </c>
      <c r="H67" s="30"/>
      <c r="I67" s="30"/>
    </row>
    <row r="68" spans="1:9" s="29" customFormat="1" ht="30" customHeight="1" x14ac:dyDescent="0.2">
      <c r="A68" s="17" t="s">
        <v>70</v>
      </c>
      <c r="B68" s="30"/>
      <c r="C68" s="30"/>
      <c r="D68" s="17" t="s">
        <v>70</v>
      </c>
      <c r="E68" s="30"/>
      <c r="F68" s="30"/>
      <c r="G68" s="17" t="s">
        <v>70</v>
      </c>
      <c r="H68" s="30"/>
      <c r="I68" s="30"/>
    </row>
    <row r="69" spans="1:9" s="29" customFormat="1" ht="30" customHeight="1" x14ac:dyDescent="0.2">
      <c r="A69" s="17" t="s">
        <v>71</v>
      </c>
      <c r="B69" s="30"/>
      <c r="C69" s="30"/>
      <c r="D69" s="17" t="s">
        <v>71</v>
      </c>
      <c r="E69" s="30"/>
      <c r="F69" s="30"/>
      <c r="G69" s="17" t="s">
        <v>71</v>
      </c>
      <c r="H69" s="30"/>
      <c r="I69" s="30"/>
    </row>
    <row r="71" spans="1:9" ht="24.6" x14ac:dyDescent="0.3">
      <c r="B71" s="495" t="s">
        <v>76</v>
      </c>
      <c r="C71" s="495"/>
      <c r="D71" s="495"/>
      <c r="E71" s="495"/>
      <c r="F71" s="495"/>
      <c r="G71" s="495"/>
      <c r="H71" s="495"/>
      <c r="I71" s="495"/>
    </row>
    <row r="73" spans="1:9" x14ac:dyDescent="0.3">
      <c r="B73" s="2" t="s">
        <v>72</v>
      </c>
      <c r="C73" s="2"/>
      <c r="D73" s="2"/>
      <c r="E73" s="2"/>
      <c r="F73" s="2"/>
      <c r="G73" s="2"/>
      <c r="H73" s="2"/>
      <c r="I73" s="2"/>
    </row>
    <row r="74" spans="1:9" x14ac:dyDescent="0.3">
      <c r="B74" s="2" t="s">
        <v>88</v>
      </c>
      <c r="C74" s="2"/>
      <c r="D74" s="2"/>
      <c r="E74" s="2"/>
      <c r="F74" s="2"/>
      <c r="G74" s="2"/>
      <c r="H74" s="2"/>
      <c r="I74" s="2"/>
    </row>
    <row r="75" spans="1:9" x14ac:dyDescent="0.3">
      <c r="C75" s="2"/>
      <c r="D75" s="2"/>
      <c r="E75" s="2"/>
      <c r="F75" s="2"/>
      <c r="G75" s="2"/>
      <c r="H75" s="2"/>
      <c r="I75" s="2"/>
    </row>
    <row r="76" spans="1:9" x14ac:dyDescent="0.3">
      <c r="B76" s="3" t="s">
        <v>77</v>
      </c>
      <c r="C76" s="2"/>
      <c r="D76" s="2"/>
      <c r="E76" s="2"/>
      <c r="F76" s="2"/>
      <c r="G76" s="2"/>
      <c r="H76" s="2"/>
      <c r="I76" s="2"/>
    </row>
    <row r="77" spans="1:9" x14ac:dyDescent="0.3">
      <c r="B77" s="2"/>
      <c r="C77" s="2"/>
      <c r="D77" s="2"/>
      <c r="E77" s="2"/>
      <c r="F77" s="2"/>
      <c r="G77" s="2"/>
      <c r="H77" s="2"/>
      <c r="I77" s="2"/>
    </row>
    <row r="78" spans="1:9" x14ac:dyDescent="0.3">
      <c r="B78" s="33" t="s">
        <v>78</v>
      </c>
      <c r="C78" s="27"/>
      <c r="E78" s="27"/>
      <c r="F78" s="27"/>
      <c r="H78" s="27"/>
      <c r="I78" s="27"/>
    </row>
    <row r="79" spans="1:9" s="29" customFormat="1" ht="30" customHeight="1" x14ac:dyDescent="0.2">
      <c r="A79" s="496" t="s">
        <v>79</v>
      </c>
      <c r="B79" s="496"/>
      <c r="C79" s="496"/>
      <c r="D79" s="496" t="s">
        <v>80</v>
      </c>
      <c r="E79" s="496"/>
      <c r="F79" s="496"/>
      <c r="G79" s="496" t="s">
        <v>81</v>
      </c>
      <c r="H79" s="496"/>
      <c r="I79" s="496"/>
    </row>
    <row r="80" spans="1:9" s="29" customFormat="1" ht="30" customHeight="1" thickBot="1" x14ac:dyDescent="0.25">
      <c r="A80" s="497" t="s">
        <v>61</v>
      </c>
      <c r="B80" s="497"/>
      <c r="C80" s="32" t="s">
        <v>62</v>
      </c>
      <c r="D80" s="497" t="s">
        <v>61</v>
      </c>
      <c r="E80" s="497"/>
      <c r="F80" s="32" t="s">
        <v>62</v>
      </c>
      <c r="G80" s="497" t="s">
        <v>61</v>
      </c>
      <c r="H80" s="497"/>
      <c r="I80" s="32" t="s">
        <v>62</v>
      </c>
    </row>
    <row r="81" spans="1:9" s="29" customFormat="1" ht="30" customHeight="1" thickTop="1" x14ac:dyDescent="0.2">
      <c r="A81" s="18" t="s">
        <v>64</v>
      </c>
      <c r="B81" s="31"/>
      <c r="C81" s="31"/>
      <c r="D81" s="18" t="s">
        <v>64</v>
      </c>
      <c r="E81" s="31"/>
      <c r="F81" s="31"/>
      <c r="G81" s="18" t="s">
        <v>64</v>
      </c>
      <c r="H81" s="31"/>
      <c r="I81" s="31"/>
    </row>
    <row r="82" spans="1:9" s="29" customFormat="1" ht="30" customHeight="1" x14ac:dyDescent="0.2">
      <c r="A82" s="17" t="s">
        <v>37</v>
      </c>
      <c r="B82" s="30"/>
      <c r="C82" s="30"/>
      <c r="D82" s="17" t="s">
        <v>37</v>
      </c>
      <c r="E82" s="30"/>
      <c r="F82" s="30"/>
      <c r="G82" s="17" t="s">
        <v>37</v>
      </c>
      <c r="H82" s="30"/>
      <c r="I82" s="30"/>
    </row>
    <row r="83" spans="1:9" s="29" customFormat="1" ht="30" customHeight="1" x14ac:dyDescent="0.2">
      <c r="A83" s="17" t="s">
        <v>65</v>
      </c>
      <c r="B83" s="30"/>
      <c r="C83" s="30"/>
      <c r="D83" s="17" t="s">
        <v>65</v>
      </c>
      <c r="E83" s="30"/>
      <c r="F83" s="30"/>
      <c r="G83" s="17" t="s">
        <v>65</v>
      </c>
      <c r="H83" s="30"/>
      <c r="I83" s="30"/>
    </row>
    <row r="84" spans="1:9" s="29" customFormat="1" ht="30" customHeight="1" x14ac:dyDescent="0.2">
      <c r="A84" s="17" t="s">
        <v>66</v>
      </c>
      <c r="B84" s="30"/>
      <c r="C84" s="30"/>
      <c r="D84" s="17" t="s">
        <v>66</v>
      </c>
      <c r="E84" s="30"/>
      <c r="F84" s="30"/>
      <c r="G84" s="17" t="s">
        <v>66</v>
      </c>
      <c r="H84" s="30"/>
      <c r="I84" s="30"/>
    </row>
    <row r="85" spans="1:9" s="29" customFormat="1" ht="30" customHeight="1" x14ac:dyDescent="0.2">
      <c r="A85" s="17" t="s">
        <v>67</v>
      </c>
      <c r="B85" s="30"/>
      <c r="C85" s="30"/>
      <c r="D85" s="17" t="s">
        <v>67</v>
      </c>
      <c r="E85" s="30"/>
      <c r="F85" s="30"/>
      <c r="G85" s="17" t="s">
        <v>67</v>
      </c>
      <c r="H85" s="30"/>
      <c r="I85" s="30"/>
    </row>
    <row r="86" spans="1:9" s="29" customFormat="1" ht="30" customHeight="1" x14ac:dyDescent="0.2">
      <c r="A86" s="17" t="s">
        <v>68</v>
      </c>
      <c r="B86" s="30"/>
      <c r="C86" s="30"/>
      <c r="D86" s="17" t="s">
        <v>68</v>
      </c>
      <c r="E86" s="30"/>
      <c r="F86" s="30"/>
      <c r="G86" s="17" t="s">
        <v>68</v>
      </c>
      <c r="H86" s="30"/>
      <c r="I86" s="30"/>
    </row>
    <row r="87" spans="1:9" s="29" customFormat="1" ht="30" customHeight="1" x14ac:dyDescent="0.2">
      <c r="A87" s="17" t="s">
        <v>42</v>
      </c>
      <c r="B87" s="30"/>
      <c r="C87" s="30"/>
      <c r="D87" s="17" t="s">
        <v>42</v>
      </c>
      <c r="E87" s="30"/>
      <c r="F87" s="30"/>
      <c r="G87" s="17" t="s">
        <v>42</v>
      </c>
      <c r="H87" s="30"/>
      <c r="I87" s="30"/>
    </row>
    <row r="88" spans="1:9" s="29" customFormat="1" ht="30" customHeight="1" x14ac:dyDescent="0.2">
      <c r="A88" s="17" t="s">
        <v>69</v>
      </c>
      <c r="B88" s="30"/>
      <c r="C88" s="30"/>
      <c r="D88" s="17" t="s">
        <v>69</v>
      </c>
      <c r="E88" s="30"/>
      <c r="F88" s="30"/>
      <c r="G88" s="17" t="s">
        <v>69</v>
      </c>
      <c r="H88" s="30"/>
      <c r="I88" s="30"/>
    </row>
    <row r="89" spans="1:9" s="29" customFormat="1" ht="30" customHeight="1" x14ac:dyDescent="0.2">
      <c r="A89" s="17" t="s">
        <v>70</v>
      </c>
      <c r="B89" s="30"/>
      <c r="C89" s="30"/>
      <c r="D89" s="17" t="s">
        <v>70</v>
      </c>
      <c r="E89" s="30"/>
      <c r="F89" s="30"/>
      <c r="G89" s="17" t="s">
        <v>70</v>
      </c>
      <c r="H89" s="30"/>
      <c r="I89" s="30"/>
    </row>
    <row r="90" spans="1:9" s="29" customFormat="1" ht="30" customHeight="1" x14ac:dyDescent="0.2">
      <c r="A90" s="17" t="s">
        <v>71</v>
      </c>
      <c r="B90" s="30"/>
      <c r="C90" s="30"/>
      <c r="D90" s="17" t="s">
        <v>71</v>
      </c>
      <c r="E90" s="30"/>
      <c r="F90" s="30"/>
      <c r="G90" s="17" t="s">
        <v>71</v>
      </c>
      <c r="H90" s="30"/>
      <c r="I90" s="30"/>
    </row>
    <row r="92" spans="1:9" x14ac:dyDescent="0.3">
      <c r="B92" s="33" t="s">
        <v>87</v>
      </c>
      <c r="C92" s="27"/>
      <c r="E92" s="27"/>
      <c r="F92" s="27"/>
      <c r="H92" s="27"/>
      <c r="I92" s="27"/>
    </row>
    <row r="93" spans="1:9" s="29" customFormat="1" ht="30" customHeight="1" x14ac:dyDescent="0.2">
      <c r="A93" s="496" t="s">
        <v>82</v>
      </c>
      <c r="B93" s="496"/>
      <c r="C93" s="496"/>
      <c r="D93" s="496" t="s">
        <v>83</v>
      </c>
      <c r="E93" s="496"/>
      <c r="F93" s="496"/>
      <c r="G93" s="496" t="s">
        <v>84</v>
      </c>
      <c r="H93" s="496"/>
      <c r="I93" s="496"/>
    </row>
    <row r="94" spans="1:9" s="29" customFormat="1" ht="30" customHeight="1" thickBot="1" x14ac:dyDescent="0.25">
      <c r="A94" s="497" t="s">
        <v>61</v>
      </c>
      <c r="B94" s="497"/>
      <c r="C94" s="32" t="s">
        <v>62</v>
      </c>
      <c r="D94" s="497" t="s">
        <v>61</v>
      </c>
      <c r="E94" s="497"/>
      <c r="F94" s="32" t="s">
        <v>62</v>
      </c>
      <c r="G94" s="497" t="s">
        <v>61</v>
      </c>
      <c r="H94" s="497"/>
      <c r="I94" s="32" t="s">
        <v>62</v>
      </c>
    </row>
    <row r="95" spans="1:9" s="29" customFormat="1" ht="30" customHeight="1" thickTop="1" x14ac:dyDescent="0.2">
      <c r="A95" s="18" t="s">
        <v>64</v>
      </c>
      <c r="B95" s="31"/>
      <c r="C95" s="31"/>
      <c r="D95" s="18" t="s">
        <v>64</v>
      </c>
      <c r="E95" s="31"/>
      <c r="F95" s="31"/>
      <c r="G95" s="18" t="s">
        <v>64</v>
      </c>
      <c r="H95" s="31"/>
      <c r="I95" s="31"/>
    </row>
    <row r="96" spans="1:9" s="29" customFormat="1" ht="30" customHeight="1" x14ac:dyDescent="0.2">
      <c r="A96" s="17" t="s">
        <v>37</v>
      </c>
      <c r="B96" s="30"/>
      <c r="C96" s="30"/>
      <c r="D96" s="17" t="s">
        <v>37</v>
      </c>
      <c r="E96" s="30"/>
      <c r="F96" s="30"/>
      <c r="G96" s="17" t="s">
        <v>37</v>
      </c>
      <c r="H96" s="30"/>
      <c r="I96" s="30"/>
    </row>
    <row r="97" spans="1:9" s="29" customFormat="1" ht="30" customHeight="1" x14ac:dyDescent="0.2">
      <c r="A97" s="17" t="s">
        <v>65</v>
      </c>
      <c r="B97" s="30"/>
      <c r="C97" s="30"/>
      <c r="D97" s="17" t="s">
        <v>65</v>
      </c>
      <c r="E97" s="30"/>
      <c r="F97" s="30"/>
      <c r="G97" s="17" t="s">
        <v>65</v>
      </c>
      <c r="H97" s="30"/>
      <c r="I97" s="30"/>
    </row>
    <row r="98" spans="1:9" s="29" customFormat="1" ht="30" customHeight="1" x14ac:dyDescent="0.2">
      <c r="A98" s="17" t="s">
        <v>66</v>
      </c>
      <c r="B98" s="30"/>
      <c r="C98" s="30"/>
      <c r="D98" s="17" t="s">
        <v>66</v>
      </c>
      <c r="E98" s="30"/>
      <c r="F98" s="30"/>
      <c r="G98" s="17" t="s">
        <v>66</v>
      </c>
      <c r="H98" s="30"/>
      <c r="I98" s="30"/>
    </row>
    <row r="99" spans="1:9" s="29" customFormat="1" ht="30" customHeight="1" x14ac:dyDescent="0.2">
      <c r="A99" s="17" t="s">
        <v>67</v>
      </c>
      <c r="B99" s="30"/>
      <c r="C99" s="30"/>
      <c r="D99" s="17" t="s">
        <v>67</v>
      </c>
      <c r="E99" s="30"/>
      <c r="F99" s="30"/>
      <c r="G99" s="17" t="s">
        <v>67</v>
      </c>
      <c r="H99" s="30"/>
      <c r="I99" s="30"/>
    </row>
    <row r="100" spans="1:9" s="29" customFormat="1" ht="30" customHeight="1" x14ac:dyDescent="0.2">
      <c r="A100" s="17" t="s">
        <v>68</v>
      </c>
      <c r="B100" s="30"/>
      <c r="C100" s="30"/>
      <c r="D100" s="17" t="s">
        <v>68</v>
      </c>
      <c r="E100" s="30"/>
      <c r="F100" s="30"/>
      <c r="G100" s="17" t="s">
        <v>68</v>
      </c>
      <c r="H100" s="30"/>
      <c r="I100" s="30"/>
    </row>
    <row r="101" spans="1:9" s="29" customFormat="1" ht="30" customHeight="1" x14ac:dyDescent="0.2">
      <c r="A101" s="17" t="s">
        <v>42</v>
      </c>
      <c r="B101" s="30"/>
      <c r="C101" s="30"/>
      <c r="D101" s="17" t="s">
        <v>42</v>
      </c>
      <c r="E101" s="30"/>
      <c r="F101" s="30"/>
      <c r="G101" s="17" t="s">
        <v>42</v>
      </c>
      <c r="H101" s="30"/>
      <c r="I101" s="30"/>
    </row>
    <row r="102" spans="1:9" s="29" customFormat="1" ht="30" customHeight="1" x14ac:dyDescent="0.2">
      <c r="A102" s="17" t="s">
        <v>69</v>
      </c>
      <c r="B102" s="30"/>
      <c r="C102" s="30"/>
      <c r="D102" s="17" t="s">
        <v>69</v>
      </c>
      <c r="E102" s="30"/>
      <c r="F102" s="30"/>
      <c r="G102" s="17" t="s">
        <v>69</v>
      </c>
      <c r="H102" s="30"/>
      <c r="I102" s="30"/>
    </row>
    <row r="103" spans="1:9" s="29" customFormat="1" ht="30" customHeight="1" x14ac:dyDescent="0.2">
      <c r="A103" s="17" t="s">
        <v>70</v>
      </c>
      <c r="B103" s="30"/>
      <c r="C103" s="30"/>
      <c r="D103" s="17" t="s">
        <v>70</v>
      </c>
      <c r="E103" s="30"/>
      <c r="F103" s="30"/>
      <c r="G103" s="17" t="s">
        <v>70</v>
      </c>
      <c r="H103" s="30"/>
      <c r="I103" s="30"/>
    </row>
    <row r="104" spans="1:9" s="29" customFormat="1" ht="30" customHeight="1" x14ac:dyDescent="0.2">
      <c r="A104" s="17" t="s">
        <v>71</v>
      </c>
      <c r="B104" s="30"/>
      <c r="C104" s="30"/>
      <c r="D104" s="17" t="s">
        <v>71</v>
      </c>
      <c r="E104" s="30"/>
      <c r="F104" s="30"/>
      <c r="G104" s="17" t="s">
        <v>71</v>
      </c>
      <c r="H104" s="30"/>
      <c r="I104" s="30"/>
    </row>
  </sheetData>
  <mergeCells count="39">
    <mergeCell ref="A23:C23"/>
    <mergeCell ref="D23:F23"/>
    <mergeCell ref="G23:I23"/>
    <mergeCell ref="A24:B24"/>
    <mergeCell ref="D24:E24"/>
    <mergeCell ref="G24:H24"/>
    <mergeCell ref="B1:I1"/>
    <mergeCell ref="A9:C9"/>
    <mergeCell ref="D9:F9"/>
    <mergeCell ref="G9:I9"/>
    <mergeCell ref="A10:B10"/>
    <mergeCell ref="D10:E10"/>
    <mergeCell ref="G10:H10"/>
    <mergeCell ref="B71:I71"/>
    <mergeCell ref="A79:C79"/>
    <mergeCell ref="D79:F79"/>
    <mergeCell ref="G79:I79"/>
    <mergeCell ref="A94:B94"/>
    <mergeCell ref="D94:E94"/>
    <mergeCell ref="G94:H94"/>
    <mergeCell ref="A80:B80"/>
    <mergeCell ref="D80:E80"/>
    <mergeCell ref="G80:H80"/>
    <mergeCell ref="A93:C93"/>
    <mergeCell ref="D93:F93"/>
    <mergeCell ref="G93:I93"/>
    <mergeCell ref="A58:C58"/>
    <mergeCell ref="D58:F58"/>
    <mergeCell ref="G58:I58"/>
    <mergeCell ref="A59:B59"/>
    <mergeCell ref="D59:E59"/>
    <mergeCell ref="G59:H59"/>
    <mergeCell ref="B36:I36"/>
    <mergeCell ref="A44:C44"/>
    <mergeCell ref="D44:F44"/>
    <mergeCell ref="G44:I44"/>
    <mergeCell ref="A45:B45"/>
    <mergeCell ref="D45:E45"/>
    <mergeCell ref="G45:H45"/>
  </mergeCells>
  <phoneticPr fontId="2"/>
  <printOptions horizontalCentered="1" verticalCentered="1"/>
  <pageMargins left="0" right="0" top="0" bottom="0" header="0.31496062992125984" footer="0.31496062992125984"/>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36"/>
  <sheetViews>
    <sheetView workbookViewId="0">
      <selection activeCell="M8" sqref="M8"/>
    </sheetView>
  </sheetViews>
  <sheetFormatPr defaultRowHeight="13.2" x14ac:dyDescent="0.2"/>
  <cols>
    <col min="1" max="10" width="9.6640625" style="35" customWidth="1"/>
    <col min="11" max="256" width="9" style="35"/>
    <col min="257" max="266" width="9.6640625" style="35" customWidth="1"/>
    <col min="267" max="512" width="9" style="35"/>
    <col min="513" max="522" width="9.6640625" style="35" customWidth="1"/>
    <col min="523" max="768" width="9" style="35"/>
    <col min="769" max="778" width="9.6640625" style="35" customWidth="1"/>
    <col min="779" max="1024" width="9" style="35"/>
    <col min="1025" max="1034" width="9.6640625" style="35" customWidth="1"/>
    <col min="1035" max="1280" width="9" style="35"/>
    <col min="1281" max="1290" width="9.6640625" style="35" customWidth="1"/>
    <col min="1291" max="1536" width="9" style="35"/>
    <col min="1537" max="1546" width="9.6640625" style="35" customWidth="1"/>
    <col min="1547" max="1792" width="9" style="35"/>
    <col min="1793" max="1802" width="9.6640625" style="35" customWidth="1"/>
    <col min="1803" max="2048" width="9" style="35"/>
    <col min="2049" max="2058" width="9.6640625" style="35" customWidth="1"/>
    <col min="2059" max="2304" width="9" style="35"/>
    <col min="2305" max="2314" width="9.6640625" style="35" customWidth="1"/>
    <col min="2315" max="2560" width="9" style="35"/>
    <col min="2561" max="2570" width="9.6640625" style="35" customWidth="1"/>
    <col min="2571" max="2816" width="9" style="35"/>
    <col min="2817" max="2826" width="9.6640625" style="35" customWidth="1"/>
    <col min="2827" max="3072" width="9" style="35"/>
    <col min="3073" max="3082" width="9.6640625" style="35" customWidth="1"/>
    <col min="3083" max="3328" width="9" style="35"/>
    <col min="3329" max="3338" width="9.6640625" style="35" customWidth="1"/>
    <col min="3339" max="3584" width="9" style="35"/>
    <col min="3585" max="3594" width="9.6640625" style="35" customWidth="1"/>
    <col min="3595" max="3840" width="9" style="35"/>
    <col min="3841" max="3850" width="9.6640625" style="35" customWidth="1"/>
    <col min="3851" max="4096" width="9" style="35"/>
    <col min="4097" max="4106" width="9.6640625" style="35" customWidth="1"/>
    <col min="4107" max="4352" width="9" style="35"/>
    <col min="4353" max="4362" width="9.6640625" style="35" customWidth="1"/>
    <col min="4363" max="4608" width="9" style="35"/>
    <col min="4609" max="4618" width="9.6640625" style="35" customWidth="1"/>
    <col min="4619" max="4864" width="9" style="35"/>
    <col min="4865" max="4874" width="9.6640625" style="35" customWidth="1"/>
    <col min="4875" max="5120" width="9" style="35"/>
    <col min="5121" max="5130" width="9.6640625" style="35" customWidth="1"/>
    <col min="5131" max="5376" width="9" style="35"/>
    <col min="5377" max="5386" width="9.6640625" style="35" customWidth="1"/>
    <col min="5387" max="5632" width="9" style="35"/>
    <col min="5633" max="5642" width="9.6640625" style="35" customWidth="1"/>
    <col min="5643" max="5888" width="9" style="35"/>
    <col min="5889" max="5898" width="9.6640625" style="35" customWidth="1"/>
    <col min="5899" max="6144" width="9" style="35"/>
    <col min="6145" max="6154" width="9.6640625" style="35" customWidth="1"/>
    <col min="6155" max="6400" width="9" style="35"/>
    <col min="6401" max="6410" width="9.6640625" style="35" customWidth="1"/>
    <col min="6411" max="6656" width="9" style="35"/>
    <col min="6657" max="6666" width="9.6640625" style="35" customWidth="1"/>
    <col min="6667" max="6912" width="9" style="35"/>
    <col min="6913" max="6922" width="9.6640625" style="35" customWidth="1"/>
    <col min="6923" max="7168" width="9" style="35"/>
    <col min="7169" max="7178" width="9.6640625" style="35" customWidth="1"/>
    <col min="7179" max="7424" width="9" style="35"/>
    <col min="7425" max="7434" width="9.6640625" style="35" customWidth="1"/>
    <col min="7435" max="7680" width="9" style="35"/>
    <col min="7681" max="7690" width="9.6640625" style="35" customWidth="1"/>
    <col min="7691" max="7936" width="9" style="35"/>
    <col min="7937" max="7946" width="9.6640625" style="35" customWidth="1"/>
    <col min="7947" max="8192" width="9" style="35"/>
    <col min="8193" max="8202" width="9.6640625" style="35" customWidth="1"/>
    <col min="8203" max="8448" width="9" style="35"/>
    <col min="8449" max="8458" width="9.6640625" style="35" customWidth="1"/>
    <col min="8459" max="8704" width="9" style="35"/>
    <col min="8705" max="8714" width="9.6640625" style="35" customWidth="1"/>
    <col min="8715" max="8960" width="9" style="35"/>
    <col min="8961" max="8970" width="9.6640625" style="35" customWidth="1"/>
    <col min="8971" max="9216" width="9" style="35"/>
    <col min="9217" max="9226" width="9.6640625" style="35" customWidth="1"/>
    <col min="9227" max="9472" width="9" style="35"/>
    <col min="9473" max="9482" width="9.6640625" style="35" customWidth="1"/>
    <col min="9483" max="9728" width="9" style="35"/>
    <col min="9729" max="9738" width="9.6640625" style="35" customWidth="1"/>
    <col min="9739" max="9984" width="9" style="35"/>
    <col min="9985" max="9994" width="9.6640625" style="35" customWidth="1"/>
    <col min="9995" max="10240" width="9" style="35"/>
    <col min="10241" max="10250" width="9.6640625" style="35" customWidth="1"/>
    <col min="10251" max="10496" width="9" style="35"/>
    <col min="10497" max="10506" width="9.6640625" style="35" customWidth="1"/>
    <col min="10507" max="10752" width="9" style="35"/>
    <col min="10753" max="10762" width="9.6640625" style="35" customWidth="1"/>
    <col min="10763" max="11008" width="9" style="35"/>
    <col min="11009" max="11018" width="9.6640625" style="35" customWidth="1"/>
    <col min="11019" max="11264" width="9" style="35"/>
    <col min="11265" max="11274" width="9.6640625" style="35" customWidth="1"/>
    <col min="11275" max="11520" width="9" style="35"/>
    <col min="11521" max="11530" width="9.6640625" style="35" customWidth="1"/>
    <col min="11531" max="11776" width="9" style="35"/>
    <col min="11777" max="11786" width="9.6640625" style="35" customWidth="1"/>
    <col min="11787" max="12032" width="9" style="35"/>
    <col min="12033" max="12042" width="9.6640625" style="35" customWidth="1"/>
    <col min="12043" max="12288" width="9" style="35"/>
    <col min="12289" max="12298" width="9.6640625" style="35" customWidth="1"/>
    <col min="12299" max="12544" width="9" style="35"/>
    <col min="12545" max="12554" width="9.6640625" style="35" customWidth="1"/>
    <col min="12555" max="12800" width="9" style="35"/>
    <col min="12801" max="12810" width="9.6640625" style="35" customWidth="1"/>
    <col min="12811" max="13056" width="9" style="35"/>
    <col min="13057" max="13066" width="9.6640625" style="35" customWidth="1"/>
    <col min="13067" max="13312" width="9" style="35"/>
    <col min="13313" max="13322" width="9.6640625" style="35" customWidth="1"/>
    <col min="13323" max="13568" width="9" style="35"/>
    <col min="13569" max="13578" width="9.6640625" style="35" customWidth="1"/>
    <col min="13579" max="13824" width="9" style="35"/>
    <col min="13825" max="13834" width="9.6640625" style="35" customWidth="1"/>
    <col min="13835" max="14080" width="9" style="35"/>
    <col min="14081" max="14090" width="9.6640625" style="35" customWidth="1"/>
    <col min="14091" max="14336" width="9" style="35"/>
    <col min="14337" max="14346" width="9.6640625" style="35" customWidth="1"/>
    <col min="14347" max="14592" width="9" style="35"/>
    <col min="14593" max="14602" width="9.6640625" style="35" customWidth="1"/>
    <col min="14603" max="14848" width="9" style="35"/>
    <col min="14849" max="14858" width="9.6640625" style="35" customWidth="1"/>
    <col min="14859" max="15104" width="9" style="35"/>
    <col min="15105" max="15114" width="9.6640625" style="35" customWidth="1"/>
    <col min="15115" max="15360" width="9" style="35"/>
    <col min="15361" max="15370" width="9.6640625" style="35" customWidth="1"/>
    <col min="15371" max="15616" width="9" style="35"/>
    <col min="15617" max="15626" width="9.6640625" style="35" customWidth="1"/>
    <col min="15627" max="15872" width="9" style="35"/>
    <col min="15873" max="15882" width="9.6640625" style="35" customWidth="1"/>
    <col min="15883" max="16128" width="9" style="35"/>
    <col min="16129" max="16138" width="9.6640625" style="35" customWidth="1"/>
    <col min="16139" max="16384" width="9" style="35"/>
  </cols>
  <sheetData>
    <row r="1" spans="1:10" ht="23.4" x14ac:dyDescent="0.3">
      <c r="D1" s="45" t="s">
        <v>98</v>
      </c>
    </row>
    <row r="3" spans="1:10" ht="13.8" thickBot="1" x14ac:dyDescent="0.25">
      <c r="A3" s="35" t="s">
        <v>97</v>
      </c>
    </row>
    <row r="4" spans="1:10" s="36" customFormat="1" ht="25.5" customHeight="1" thickBot="1" x14ac:dyDescent="0.25">
      <c r="A4" s="44" t="s">
        <v>94</v>
      </c>
      <c r="B4" s="43" t="s">
        <v>95</v>
      </c>
      <c r="C4" s="44" t="s">
        <v>94</v>
      </c>
      <c r="D4" s="43" t="s">
        <v>95</v>
      </c>
      <c r="E4" s="44" t="s">
        <v>94</v>
      </c>
      <c r="F4" s="43" t="s">
        <v>95</v>
      </c>
      <c r="G4" s="44" t="s">
        <v>94</v>
      </c>
      <c r="H4" s="43" t="s">
        <v>95</v>
      </c>
      <c r="I4" s="44" t="s">
        <v>94</v>
      </c>
      <c r="J4" s="43" t="s">
        <v>96</v>
      </c>
    </row>
    <row r="5" spans="1:10" s="36" customFormat="1" ht="25.5" customHeight="1" thickTop="1" x14ac:dyDescent="0.2">
      <c r="A5" s="42" t="s">
        <v>92</v>
      </c>
      <c r="B5" s="41" t="s">
        <v>91</v>
      </c>
      <c r="C5" s="42" t="s">
        <v>92</v>
      </c>
      <c r="D5" s="41" t="s">
        <v>91</v>
      </c>
      <c r="E5" s="42" t="s">
        <v>92</v>
      </c>
      <c r="F5" s="41" t="s">
        <v>91</v>
      </c>
      <c r="G5" s="42" t="s">
        <v>92</v>
      </c>
      <c r="H5" s="41" t="s">
        <v>91</v>
      </c>
      <c r="I5" s="42" t="s">
        <v>92</v>
      </c>
      <c r="J5" s="41" t="s">
        <v>91</v>
      </c>
    </row>
    <row r="6" spans="1:10" s="36" customFormat="1" ht="25.5" customHeight="1" x14ac:dyDescent="0.2">
      <c r="A6" s="40">
        <v>0.41666666666666669</v>
      </c>
      <c r="B6" s="39"/>
      <c r="C6" s="40">
        <v>0.41666666666666669</v>
      </c>
      <c r="D6" s="39"/>
      <c r="E6" s="40">
        <v>0.41666666666666669</v>
      </c>
      <c r="F6" s="39"/>
      <c r="G6" s="40">
        <v>0.41666666666666669</v>
      </c>
      <c r="H6" s="39"/>
      <c r="I6" s="40">
        <v>0.41666666666666669</v>
      </c>
      <c r="J6" s="39"/>
    </row>
    <row r="7" spans="1:10" s="36" customFormat="1" ht="25.5" customHeight="1" x14ac:dyDescent="0.2">
      <c r="A7" s="40">
        <v>0.45833333333333298</v>
      </c>
      <c r="B7" s="39"/>
      <c r="C7" s="40">
        <v>0.45833333333333298</v>
      </c>
      <c r="D7" s="39"/>
      <c r="E7" s="40">
        <v>0.45833333333333298</v>
      </c>
      <c r="F7" s="39"/>
      <c r="G7" s="40">
        <v>0.45833333333333298</v>
      </c>
      <c r="H7" s="39"/>
      <c r="I7" s="40">
        <v>0.45833333333333298</v>
      </c>
      <c r="J7" s="39"/>
    </row>
    <row r="8" spans="1:10" s="36" customFormat="1" ht="25.5" customHeight="1" x14ac:dyDescent="0.2">
      <c r="A8" s="40">
        <v>0.5</v>
      </c>
      <c r="B8" s="39"/>
      <c r="C8" s="40">
        <v>0.5</v>
      </c>
      <c r="D8" s="39"/>
      <c r="E8" s="40">
        <v>0.5</v>
      </c>
      <c r="F8" s="39"/>
      <c r="G8" s="40">
        <v>0.5</v>
      </c>
      <c r="H8" s="39"/>
      <c r="I8" s="40">
        <v>0.5</v>
      </c>
      <c r="J8" s="39"/>
    </row>
    <row r="9" spans="1:10" s="36" customFormat="1" ht="25.5" customHeight="1" x14ac:dyDescent="0.2">
      <c r="A9" s="40">
        <v>0.54166666666666696</v>
      </c>
      <c r="B9" s="39"/>
      <c r="C9" s="40">
        <v>0.54166666666666696</v>
      </c>
      <c r="D9" s="39"/>
      <c r="E9" s="40">
        <v>0.54166666666666696</v>
      </c>
      <c r="F9" s="39"/>
      <c r="G9" s="40">
        <v>0.54166666666666696</v>
      </c>
      <c r="H9" s="39"/>
      <c r="I9" s="40">
        <v>0.54166666666666696</v>
      </c>
      <c r="J9" s="39"/>
    </row>
    <row r="10" spans="1:10" s="36" customFormat="1" ht="25.5" customHeight="1" x14ac:dyDescent="0.2">
      <c r="A10" s="40">
        <v>0.58333333333333304</v>
      </c>
      <c r="B10" s="39"/>
      <c r="C10" s="40">
        <v>0.58333333333333304</v>
      </c>
      <c r="D10" s="39"/>
      <c r="E10" s="40">
        <v>0.58333333333333304</v>
      </c>
      <c r="F10" s="39"/>
      <c r="G10" s="40">
        <v>0.58333333333333304</v>
      </c>
      <c r="H10" s="39"/>
      <c r="I10" s="40">
        <v>0.58333333333333304</v>
      </c>
      <c r="J10" s="39"/>
    </row>
    <row r="11" spans="1:10" s="36" customFormat="1" ht="25.5" customHeight="1" x14ac:dyDescent="0.2">
      <c r="A11" s="40">
        <v>0.625</v>
      </c>
      <c r="B11" s="39"/>
      <c r="C11" s="40">
        <v>0.625</v>
      </c>
      <c r="D11" s="39"/>
      <c r="E11" s="40">
        <v>0.625</v>
      </c>
      <c r="F11" s="39"/>
      <c r="G11" s="40">
        <v>0.625</v>
      </c>
      <c r="H11" s="39"/>
      <c r="I11" s="40">
        <v>0.625</v>
      </c>
      <c r="J11" s="39"/>
    </row>
    <row r="12" spans="1:10" s="36" customFormat="1" ht="25.5" customHeight="1" x14ac:dyDescent="0.2">
      <c r="A12" s="40">
        <v>0.66666666666666696</v>
      </c>
      <c r="B12" s="39"/>
      <c r="C12" s="40">
        <v>0.66666666666666696</v>
      </c>
      <c r="D12" s="39"/>
      <c r="E12" s="40">
        <v>0.66666666666666696</v>
      </c>
      <c r="F12" s="39"/>
      <c r="G12" s="40">
        <v>0.66666666666666696</v>
      </c>
      <c r="H12" s="39"/>
      <c r="I12" s="40">
        <v>0.66666666666666696</v>
      </c>
      <c r="J12" s="39"/>
    </row>
    <row r="13" spans="1:10" s="36" customFormat="1" ht="25.5" customHeight="1" x14ac:dyDescent="0.2">
      <c r="A13" s="40">
        <v>0.70833333333333304</v>
      </c>
      <c r="B13" s="39"/>
      <c r="C13" s="40">
        <v>0.70833333333333304</v>
      </c>
      <c r="D13" s="39"/>
      <c r="E13" s="40">
        <v>0.70833333333333304</v>
      </c>
      <c r="F13" s="39"/>
      <c r="G13" s="40">
        <v>0.70833333333333304</v>
      </c>
      <c r="H13" s="39"/>
      <c r="I13" s="40">
        <v>0.70833333333333304</v>
      </c>
      <c r="J13" s="39"/>
    </row>
    <row r="14" spans="1:10" s="36" customFormat="1" ht="25.5" customHeight="1" x14ac:dyDescent="0.2">
      <c r="A14" s="40">
        <v>0.75</v>
      </c>
      <c r="B14" s="39"/>
      <c r="C14" s="40">
        <v>0.75</v>
      </c>
      <c r="D14" s="39"/>
      <c r="E14" s="40">
        <v>0.75</v>
      </c>
      <c r="F14" s="39"/>
      <c r="G14" s="40">
        <v>0.75</v>
      </c>
      <c r="H14" s="39"/>
      <c r="I14" s="40">
        <v>0.75</v>
      </c>
      <c r="J14" s="39"/>
    </row>
    <row r="15" spans="1:10" s="36" customFormat="1" ht="25.5" customHeight="1" x14ac:dyDescent="0.2">
      <c r="A15" s="40">
        <v>0.79166666666666696</v>
      </c>
      <c r="B15" s="39"/>
      <c r="C15" s="40">
        <v>0.79166666666666696</v>
      </c>
      <c r="D15" s="39"/>
      <c r="E15" s="40">
        <v>0.79166666666666696</v>
      </c>
      <c r="F15" s="39"/>
      <c r="G15" s="40">
        <v>0.79166666666666696</v>
      </c>
      <c r="H15" s="39"/>
      <c r="I15" s="40">
        <v>0.79166666666666696</v>
      </c>
      <c r="J15" s="39"/>
    </row>
    <row r="16" spans="1:10" s="36" customFormat="1" ht="25.5" customHeight="1" x14ac:dyDescent="0.2">
      <c r="A16" s="40">
        <v>0.83333333333333304</v>
      </c>
      <c r="B16" s="39"/>
      <c r="C16" s="40">
        <v>0.83333333333333304</v>
      </c>
      <c r="D16" s="39"/>
      <c r="E16" s="40">
        <v>0.83333333333333304</v>
      </c>
      <c r="F16" s="39"/>
      <c r="G16" s="40">
        <v>0.83333333333333304</v>
      </c>
      <c r="H16" s="39"/>
      <c r="I16" s="40">
        <v>0.83333333333333304</v>
      </c>
      <c r="J16" s="39"/>
    </row>
    <row r="17" spans="1:10" s="36" customFormat="1" ht="25.5" customHeight="1" x14ac:dyDescent="0.2">
      <c r="A17" s="40">
        <v>0.875</v>
      </c>
      <c r="B17" s="39"/>
      <c r="C17" s="40">
        <v>0.875</v>
      </c>
      <c r="D17" s="39"/>
      <c r="E17" s="40">
        <v>0.875</v>
      </c>
      <c r="F17" s="39"/>
      <c r="G17" s="40">
        <v>0.875</v>
      </c>
      <c r="H17" s="39"/>
      <c r="I17" s="40">
        <v>0.875</v>
      </c>
      <c r="J17" s="39"/>
    </row>
    <row r="18" spans="1:10" s="36" customFormat="1" ht="25.5" customHeight="1" x14ac:dyDescent="0.2">
      <c r="A18" s="40">
        <v>0.91666666666666696</v>
      </c>
      <c r="B18" s="39"/>
      <c r="C18" s="40">
        <v>0.91666666666666696</v>
      </c>
      <c r="D18" s="39"/>
      <c r="E18" s="40">
        <v>0.91666666666666696</v>
      </c>
      <c r="F18" s="39"/>
      <c r="G18" s="40">
        <v>0.91666666666666696</v>
      </c>
      <c r="H18" s="39"/>
      <c r="I18" s="40">
        <v>0.91666666666666696</v>
      </c>
      <c r="J18" s="39"/>
    </row>
    <row r="19" spans="1:10" s="36" customFormat="1" ht="25.5" customHeight="1" thickBot="1" x14ac:dyDescent="0.25">
      <c r="A19" s="38"/>
      <c r="B19" s="37"/>
      <c r="C19" s="38"/>
      <c r="D19" s="37"/>
      <c r="E19" s="38"/>
      <c r="F19" s="37"/>
      <c r="G19" s="38"/>
      <c r="H19" s="37"/>
      <c r="I19" s="38"/>
      <c r="J19" s="37"/>
    </row>
    <row r="20" spans="1:10" ht="25.5" customHeight="1" thickBot="1" x14ac:dyDescent="0.25"/>
    <row r="21" spans="1:10" s="36" customFormat="1" ht="25.5" customHeight="1" thickBot="1" x14ac:dyDescent="0.25">
      <c r="A21" s="44" t="s">
        <v>94</v>
      </c>
      <c r="B21" s="43" t="s">
        <v>95</v>
      </c>
      <c r="C21" s="44" t="s">
        <v>94</v>
      </c>
      <c r="D21" s="43" t="s">
        <v>95</v>
      </c>
      <c r="E21" s="44" t="s">
        <v>94</v>
      </c>
      <c r="F21" s="43" t="s">
        <v>95</v>
      </c>
      <c r="G21" s="44" t="s">
        <v>94</v>
      </c>
      <c r="H21" s="43" t="s">
        <v>95</v>
      </c>
      <c r="I21" s="44" t="s">
        <v>94</v>
      </c>
      <c r="J21" s="43" t="s">
        <v>93</v>
      </c>
    </row>
    <row r="22" spans="1:10" s="36" customFormat="1" ht="25.5" customHeight="1" thickTop="1" x14ac:dyDescent="0.2">
      <c r="A22" s="42" t="s">
        <v>92</v>
      </c>
      <c r="B22" s="41" t="s">
        <v>91</v>
      </c>
      <c r="C22" s="42" t="s">
        <v>92</v>
      </c>
      <c r="D22" s="41" t="s">
        <v>91</v>
      </c>
      <c r="E22" s="42" t="s">
        <v>92</v>
      </c>
      <c r="F22" s="41" t="s">
        <v>91</v>
      </c>
      <c r="G22" s="42" t="s">
        <v>92</v>
      </c>
      <c r="H22" s="41" t="s">
        <v>91</v>
      </c>
      <c r="I22" s="42" t="s">
        <v>92</v>
      </c>
      <c r="J22" s="41" t="s">
        <v>91</v>
      </c>
    </row>
    <row r="23" spans="1:10" s="36" customFormat="1" ht="25.5" customHeight="1" x14ac:dyDescent="0.2">
      <c r="A23" s="40">
        <v>0.41666666666666669</v>
      </c>
      <c r="B23" s="39"/>
      <c r="C23" s="40">
        <v>0.41666666666666669</v>
      </c>
      <c r="D23" s="39"/>
      <c r="E23" s="40">
        <v>0.41666666666666669</v>
      </c>
      <c r="F23" s="39"/>
      <c r="G23" s="40">
        <v>0.41666666666666669</v>
      </c>
      <c r="H23" s="39"/>
      <c r="I23" s="40">
        <v>0.41666666666666669</v>
      </c>
      <c r="J23" s="39"/>
    </row>
    <row r="24" spans="1:10" s="36" customFormat="1" ht="25.5" customHeight="1" x14ac:dyDescent="0.2">
      <c r="A24" s="40">
        <v>0.45833333333333298</v>
      </c>
      <c r="B24" s="39"/>
      <c r="C24" s="40">
        <v>0.45833333333333298</v>
      </c>
      <c r="D24" s="39"/>
      <c r="E24" s="40">
        <v>0.45833333333333298</v>
      </c>
      <c r="F24" s="39"/>
      <c r="G24" s="40">
        <v>0.45833333333333298</v>
      </c>
      <c r="H24" s="39"/>
      <c r="I24" s="40">
        <v>0.45833333333333298</v>
      </c>
      <c r="J24" s="39"/>
    </row>
    <row r="25" spans="1:10" s="36" customFormat="1" ht="25.5" customHeight="1" x14ac:dyDescent="0.2">
      <c r="A25" s="40">
        <v>0.5</v>
      </c>
      <c r="B25" s="39"/>
      <c r="C25" s="40">
        <v>0.5</v>
      </c>
      <c r="D25" s="39"/>
      <c r="E25" s="40">
        <v>0.5</v>
      </c>
      <c r="F25" s="39"/>
      <c r="G25" s="40">
        <v>0.5</v>
      </c>
      <c r="H25" s="39"/>
      <c r="I25" s="40">
        <v>0.5</v>
      </c>
      <c r="J25" s="39"/>
    </row>
    <row r="26" spans="1:10" s="36" customFormat="1" ht="25.5" customHeight="1" x14ac:dyDescent="0.2">
      <c r="A26" s="40">
        <v>0.54166666666666696</v>
      </c>
      <c r="B26" s="39"/>
      <c r="C26" s="40">
        <v>0.54166666666666696</v>
      </c>
      <c r="D26" s="39"/>
      <c r="E26" s="40">
        <v>0.54166666666666696</v>
      </c>
      <c r="F26" s="39"/>
      <c r="G26" s="40">
        <v>0.54166666666666696</v>
      </c>
      <c r="H26" s="39"/>
      <c r="I26" s="40">
        <v>0.54166666666666696</v>
      </c>
      <c r="J26" s="39"/>
    </row>
    <row r="27" spans="1:10" s="36" customFormat="1" ht="25.5" customHeight="1" x14ac:dyDescent="0.2">
      <c r="A27" s="40">
        <v>0.58333333333333304</v>
      </c>
      <c r="B27" s="39"/>
      <c r="C27" s="40">
        <v>0.58333333333333304</v>
      </c>
      <c r="D27" s="39"/>
      <c r="E27" s="40">
        <v>0.58333333333333304</v>
      </c>
      <c r="F27" s="39"/>
      <c r="G27" s="40">
        <v>0.58333333333333304</v>
      </c>
      <c r="H27" s="39"/>
      <c r="I27" s="40">
        <v>0.58333333333333304</v>
      </c>
      <c r="J27" s="39"/>
    </row>
    <row r="28" spans="1:10" s="36" customFormat="1" ht="25.5" customHeight="1" x14ac:dyDescent="0.2">
      <c r="A28" s="40">
        <v>0.625</v>
      </c>
      <c r="B28" s="39"/>
      <c r="C28" s="40">
        <v>0.625</v>
      </c>
      <c r="D28" s="39"/>
      <c r="E28" s="40">
        <v>0.625</v>
      </c>
      <c r="F28" s="39"/>
      <c r="G28" s="40">
        <v>0.625</v>
      </c>
      <c r="H28" s="39"/>
      <c r="I28" s="40">
        <v>0.625</v>
      </c>
      <c r="J28" s="39"/>
    </row>
    <row r="29" spans="1:10" s="36" customFormat="1" ht="25.5" customHeight="1" x14ac:dyDescent="0.2">
      <c r="A29" s="40">
        <v>0.66666666666666696</v>
      </c>
      <c r="B29" s="39"/>
      <c r="C29" s="40">
        <v>0.66666666666666696</v>
      </c>
      <c r="D29" s="39"/>
      <c r="E29" s="40">
        <v>0.66666666666666696</v>
      </c>
      <c r="F29" s="39"/>
      <c r="G29" s="40">
        <v>0.66666666666666696</v>
      </c>
      <c r="H29" s="39"/>
      <c r="I29" s="40">
        <v>0.66666666666666696</v>
      </c>
      <c r="J29" s="39"/>
    </row>
    <row r="30" spans="1:10" s="36" customFormat="1" ht="25.5" customHeight="1" x14ac:dyDescent="0.2">
      <c r="A30" s="40">
        <v>0.70833333333333304</v>
      </c>
      <c r="B30" s="39"/>
      <c r="C30" s="40">
        <v>0.70833333333333304</v>
      </c>
      <c r="D30" s="39"/>
      <c r="E30" s="40">
        <v>0.70833333333333304</v>
      </c>
      <c r="F30" s="39"/>
      <c r="G30" s="40">
        <v>0.70833333333333304</v>
      </c>
      <c r="H30" s="39"/>
      <c r="I30" s="40">
        <v>0.70833333333333304</v>
      </c>
      <c r="J30" s="39"/>
    </row>
    <row r="31" spans="1:10" s="36" customFormat="1" ht="25.5" customHeight="1" x14ac:dyDescent="0.2">
      <c r="A31" s="40">
        <v>0.75</v>
      </c>
      <c r="B31" s="39"/>
      <c r="C31" s="40">
        <v>0.75</v>
      </c>
      <c r="D31" s="39"/>
      <c r="E31" s="40">
        <v>0.75</v>
      </c>
      <c r="F31" s="39"/>
      <c r="G31" s="40">
        <v>0.75</v>
      </c>
      <c r="H31" s="39"/>
      <c r="I31" s="40">
        <v>0.75</v>
      </c>
      <c r="J31" s="39"/>
    </row>
    <row r="32" spans="1:10" s="36" customFormat="1" ht="25.5" customHeight="1" x14ac:dyDescent="0.2">
      <c r="A32" s="40">
        <v>0.79166666666666696</v>
      </c>
      <c r="B32" s="39"/>
      <c r="C32" s="40">
        <v>0.79166666666666696</v>
      </c>
      <c r="D32" s="39"/>
      <c r="E32" s="40">
        <v>0.79166666666666696</v>
      </c>
      <c r="F32" s="39"/>
      <c r="G32" s="40">
        <v>0.79166666666666696</v>
      </c>
      <c r="H32" s="39"/>
      <c r="I32" s="40">
        <v>0.79166666666666696</v>
      </c>
      <c r="J32" s="39"/>
    </row>
    <row r="33" spans="1:10" s="36" customFormat="1" ht="25.5" customHeight="1" x14ac:dyDescent="0.2">
      <c r="A33" s="40">
        <v>0.83333333333333304</v>
      </c>
      <c r="B33" s="39"/>
      <c r="C33" s="40">
        <v>0.83333333333333304</v>
      </c>
      <c r="D33" s="39"/>
      <c r="E33" s="40">
        <v>0.83333333333333304</v>
      </c>
      <c r="F33" s="39"/>
      <c r="G33" s="40">
        <v>0.83333333333333304</v>
      </c>
      <c r="H33" s="39"/>
      <c r="I33" s="40">
        <v>0.83333333333333304</v>
      </c>
      <c r="J33" s="39"/>
    </row>
    <row r="34" spans="1:10" s="36" customFormat="1" ht="25.5" customHeight="1" x14ac:dyDescent="0.2">
      <c r="A34" s="40">
        <v>0.875</v>
      </c>
      <c r="B34" s="39"/>
      <c r="C34" s="40">
        <v>0.875</v>
      </c>
      <c r="D34" s="39"/>
      <c r="E34" s="40">
        <v>0.875</v>
      </c>
      <c r="F34" s="39"/>
      <c r="G34" s="40">
        <v>0.875</v>
      </c>
      <c r="H34" s="39"/>
      <c r="I34" s="40">
        <v>0.875</v>
      </c>
      <c r="J34" s="39"/>
    </row>
    <row r="35" spans="1:10" s="36" customFormat="1" ht="25.5" customHeight="1" x14ac:dyDescent="0.2">
      <c r="A35" s="40">
        <v>0.91666666666666696</v>
      </c>
      <c r="B35" s="39"/>
      <c r="C35" s="40">
        <v>0.91666666666666696</v>
      </c>
      <c r="D35" s="39"/>
      <c r="E35" s="40">
        <v>0.91666666666666696</v>
      </c>
      <c r="F35" s="39"/>
      <c r="G35" s="40">
        <v>0.91666666666666696</v>
      </c>
      <c r="H35" s="39"/>
      <c r="I35" s="40">
        <v>0.91666666666666696</v>
      </c>
      <c r="J35" s="39"/>
    </row>
    <row r="36" spans="1:10" s="36" customFormat="1" ht="25.5" customHeight="1" thickBot="1" x14ac:dyDescent="0.25">
      <c r="A36" s="38"/>
      <c r="B36" s="37"/>
      <c r="C36" s="38"/>
      <c r="D36" s="37"/>
      <c r="E36" s="38"/>
      <c r="F36" s="37"/>
      <c r="G36" s="38"/>
      <c r="H36" s="37"/>
      <c r="I36" s="38"/>
      <c r="J36" s="37"/>
    </row>
  </sheetData>
  <phoneticPr fontId="2"/>
  <printOptions horizontalCentered="1" verticalCentered="1"/>
  <pageMargins left="0" right="0" top="0" bottom="0" header="0.51181102362204722" footer="0.51181102362204722"/>
  <pageSetup paperSize="9"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6</vt:i4>
      </vt:variant>
      <vt:variant>
        <vt:lpstr>名前付き一覧</vt:lpstr>
      </vt:variant>
      <vt:variant>
        <vt:i4>2</vt:i4>
      </vt:variant>
    </vt:vector>
  </HeadingPairs>
  <TitlesOfParts>
    <vt:vector size="8" baseType="lpstr">
      <vt:lpstr>（新）AKT審査表2026.08</vt:lpstr>
      <vt:lpstr>審査表(本部用)2026.08</vt:lpstr>
      <vt:lpstr>結果資料2025.08</vt:lpstr>
      <vt:lpstr>防災対策点検表</vt:lpstr>
      <vt:lpstr>マニュアル確認表</vt:lpstr>
      <vt:lpstr>駐車場巡回チェック表</vt:lpstr>
      <vt:lpstr>'（新）AKT審査表2026.08'!Print_Area</vt:lpstr>
      <vt:lpstr>防災対策点検表!Print_Area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2026-08-19T02:15:08Z</dcterms:modified>
</cp:coreProperties>
</file>